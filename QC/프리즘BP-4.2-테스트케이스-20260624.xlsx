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이드" sheetId="1" state="visible" r:id="rId1"/>
    <sheet xmlns:r="http://schemas.openxmlformats.org/officeDocument/2006/relationships" name="구현현황" sheetId="2" state="visible" r:id="rId2"/>
    <sheet xmlns:r="http://schemas.openxmlformats.org/officeDocument/2006/relationships" name="시나리오" sheetId="3" state="visible" r:id="rId3"/>
    <sheet xmlns:r="http://schemas.openxmlformats.org/officeDocument/2006/relationships" name="TC_결과지" sheetId="4" state="visible" r:id="rId4"/>
    <sheet xmlns:r="http://schemas.openxmlformats.org/officeDocument/2006/relationships" name="TC_API" sheetId="5" state="visible" r:id="rId5"/>
    <sheet xmlns:r="http://schemas.openxmlformats.org/officeDocument/2006/relationships" name="TC_어드민" sheetId="6" state="visible" r:id="rId6"/>
  </sheets>
  <definedNames>
    <definedName name="_xlnm._FilterDatabase" localSheetId="3" hidden="1">'TC_결과지'!$A$1:$T$1</definedName>
    <definedName name="_xlnm._FilterDatabase" localSheetId="4" hidden="1">'TC_API'!$A$1:$T$1</definedName>
    <definedName name="_xlnm._FilterDatabase" localSheetId="5" hidden="1">'TC_어드민'!$A$1:$T$1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color rgb="001F4E79"/>
      <sz val="14"/>
    </font>
    <font>
      <name val="맑은 고딕"/>
      <color rgb="00595959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9"/>
      <sz val="13"/>
    </font>
    <font>
      <name val="맑은 고딕"/>
      <color rgb="00B5482A"/>
      <sz val="9"/>
    </font>
    <font>
      <name val="맑은 고딕"/>
      <b val="1"/>
      <sz val="10"/>
    </font>
    <font>
      <name val="맑은 고딕"/>
      <color rgb="00595959"/>
      <sz val="9"/>
    </font>
    <font>
      <name val="맑은 고딕"/>
      <b val="1"/>
      <color rgb="001F4E79"/>
      <sz val="18"/>
    </font>
    <font>
      <name val="맑은 고딕"/>
      <b val="1"/>
      <color rgb="00041D30"/>
      <sz val="11"/>
    </font>
    <font>
      <name val="맑은 고딕"/>
      <b val="1"/>
      <color rgb="00B5482A"/>
      <sz val="10"/>
    </font>
    <font>
      <name val="맑은 고딕"/>
      <b val="1"/>
      <color rgb="001F4E79"/>
      <sz val="12"/>
    </font>
    <font>
      <name val="맑은 고딕"/>
      <b val="1"/>
      <color rgb="00B5482A"/>
      <sz val="12"/>
    </font>
    <font>
      <name val="맑은 고딕"/>
      <b val="1"/>
      <color rgb="00595959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5482A"/>
      </patternFill>
    </fill>
    <fill>
      <patternFill patternType="solid">
        <fgColor rgb="00595959"/>
      </patternFill>
    </fill>
    <fill>
      <patternFill patternType="solid">
        <fgColor rgb="00F5F8FB"/>
      </patternFill>
    </fill>
    <fill>
      <patternFill patternType="solid">
        <fgColor rgb="00DEEBF7"/>
      </patternFill>
    </fill>
    <fill>
      <patternFill patternType="solid">
        <fgColor rgb="00FDE9E9"/>
      </patternFill>
    </fill>
    <fill>
      <patternFill patternType="solid">
        <fgColor rgb="00FFFFFF"/>
      </patternFill>
    </fill>
    <fill>
      <patternFill patternType="solid">
        <fgColor rgb="00EDEDED"/>
      </patternFill>
    </fill>
  </fills>
  <borders count="9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 style="thin">
        <color rgb="00D0D0D0"/>
      </left>
      <right/>
      <top/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/>
      <bottom/>
      <diagonal/>
    </border>
    <border>
      <left style="thin">
        <color rgb="00D0D0D0"/>
      </left>
      <right/>
      <top/>
      <bottom style="thin">
        <color rgb="00D0D0D0"/>
      </bottom>
      <diagonal/>
    </border>
    <border>
      <left/>
      <right/>
      <top/>
      <bottom style="thin">
        <color rgb="00D0D0D0"/>
      </bottom>
      <diagonal/>
    </border>
    <border>
      <left/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2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164" fontId="9" fillId="10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5" fillId="0" borderId="0" pivotButton="0" quotePrefix="0" xfId="0"/>
    <xf numFmtId="0" fontId="5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6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E4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DE9E9"/>
        </patternFill>
      </fill>
    </dxf>
    <dxf>
      <fill>
        <patternFill patternType="solid">
          <fgColor rgb="00DE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2">
      <c r="B2" s="1" t="inlineStr">
        <is>
          <t>프리즘 BP 4.2 · QC 테스트케이스</t>
        </is>
      </c>
    </row>
    <row r="3">
      <c r="B3" s="2" t="inlineStr">
        <is>
          <t>프리즘 BP(서류평가) 4.2   |   작성일 2026-06-24   |   QC 착수 2026-06-26(금)   |   운영 릴리즈 2026-07-02(목)   |   TC 245개(결과지 147·API 42·어드민 56)</t>
        </is>
      </c>
    </row>
    <row r="5">
      <c r="B5" s="3" t="inlineStr">
        <is>
          <t>■ 테스트는 이렇게 진행됩니다  (먼저 큰 흐름부터)</t>
        </is>
      </c>
    </row>
    <row r="6" ht="24" customHeight="1">
      <c r="B6" s="4" t="inlineStr">
        <is>
          <t>①  테스트 실행   →   ②  결과 기록 (Pass / Fail)   →   ③  실패 시 결함·심각도 작성   →   ④  개발 수정   →   ⑤  QA 재확인
QA 담당자는  ① · ② · ⑤,   개발자는  ④  를 담당합니다.   ③~⑤ 는 Fail(실패)이 났을 때만 도는 루프입니다.</t>
        </is>
      </c>
      <c r="C6" s="5" t="n"/>
      <c r="D6" s="5" t="n"/>
      <c r="E6" s="5" t="n"/>
      <c r="F6" s="5" t="n"/>
      <c r="G6" s="5" t="n"/>
      <c r="H6" s="5" t="n"/>
      <c r="I6" s="6" t="n"/>
    </row>
    <row r="7" ht="24" customHeight="1">
      <c r="B7" s="7" t="n"/>
      <c r="C7" s="8" t="n"/>
      <c r="D7" s="8" t="n"/>
      <c r="E7" s="8" t="n"/>
      <c r="F7" s="8" t="n"/>
      <c r="G7" s="8" t="n"/>
      <c r="H7" s="8" t="n"/>
      <c r="I7" s="9" t="n"/>
    </row>
    <row r="9">
      <c r="B9" s="3" t="inlineStr">
        <is>
          <t>■ 시작하기 — 처음이라면 이 3가지만 하면 됩니다</t>
        </is>
      </c>
    </row>
    <row r="10">
      <c r="B10" s="10" t="inlineStr">
        <is>
          <t>1) 내 담당 시트를 열고 [담당]을 본인 이름으로 필터 → 내 TC만 나옵니다(공통 일부 + 내 시나리오). 전부 볼 필요 없음.</t>
        </is>
      </c>
    </row>
    <row r="11">
      <c r="B11" s="10" t="inlineStr">
        <is>
          <t>2) 각 행을 실행한 뒤 [QC결과] 칸에서 Pass / Fail / N/A / Blocked 를 선택하고, [실행일] · [QC담당자] 를 적습니다.</t>
        </is>
      </c>
    </row>
    <row r="12">
      <c r="B12" s="10" t="inlineStr">
        <is>
          <t>3) Fail 일 때만 [결함 내용] · [심각도] 를 적습니다. 이후 개발이 고치면 다시 확인하는 흐름으로 이어집니다.</t>
        </is>
      </c>
    </row>
    <row r="13">
      <c r="B13" s="11" t="inlineStr">
        <is>
          <t>※ 1차 점검에서 채울 칸은 [QC결과] · [실행일] · [QC담당자] 3칸뿐입니다. 나머지는 결함이 났을 때만 — 처음부터 모든 칸을 채우려 하지 마세요.</t>
        </is>
      </c>
    </row>
    <row r="15">
      <c r="B15" s="12" t="inlineStr">
        <is>
          <t>■ 참고 · 우선순위 (무엇부터 보나)</t>
        </is>
      </c>
    </row>
    <row r="16">
      <c r="B16" s="13" t="inlineStr">
        <is>
          <t>P1</t>
        </is>
      </c>
      <c r="C16" s="10" t="inlineStr">
        <is>
          <t>핵심·필수 — 릴리즈 블로커. 가장 먼저 검증</t>
        </is>
      </c>
    </row>
    <row r="17">
      <c r="B17" s="14" t="inlineStr">
        <is>
          <t>P2</t>
        </is>
      </c>
      <c r="C17" s="10" t="inlineStr">
        <is>
          <t>중요 — P1 통과 후 검증</t>
        </is>
      </c>
    </row>
    <row r="18">
      <c r="B18" s="14" t="inlineStr">
        <is>
          <t>P3</t>
        </is>
      </c>
      <c r="C18" s="10" t="inlineStr">
        <is>
          <t>보조·표기 — 시간 여유 시 검증</t>
        </is>
      </c>
    </row>
    <row r="20">
      <c r="B20" s="12" t="inlineStr">
        <is>
          <t>■ 참고 · 상태 값 (각 칸 드롭다운에서 선택)</t>
        </is>
      </c>
    </row>
    <row r="21">
      <c r="B21" s="15" t="inlineStr">
        <is>
          <t>QC결과</t>
        </is>
      </c>
      <c r="C21" s="10" t="inlineStr">
        <is>
          <t>Pass 통과  /  Fail 실패  /  N/A 해당없음  /  Blocked 아직 개발 안 됨→테스트 불가(구현되면 재실행)</t>
        </is>
      </c>
    </row>
    <row r="22">
      <c r="B22" s="15" t="inlineStr">
        <is>
          <t>심각도</t>
        </is>
      </c>
      <c r="C22" s="10" t="inlineStr">
        <is>
          <t>치명 릴리즈 불가  /  중 주요 기능 오류  /  경 경미·표기</t>
        </is>
      </c>
    </row>
    <row r="23">
      <c r="B23" s="15" t="inlineStr">
        <is>
          <t>개발 수정상태</t>
        </is>
      </c>
      <c r="C23" s="10" t="inlineStr">
        <is>
          <t>미착수  /  수정중  /  수정완료  /  보류   (개발이 기입)</t>
        </is>
      </c>
    </row>
    <row r="24">
      <c r="B24" s="15" t="inlineStr">
        <is>
          <t>재확인(QC)</t>
        </is>
      </c>
      <c r="C24" s="10" t="inlineStr">
        <is>
          <t>재확인대기  /  재확인통과  /  재오픈(수정 후에도 실패)</t>
        </is>
      </c>
    </row>
    <row r="26">
      <c r="B26" s="12" t="inlineStr">
        <is>
          <t>■ 참고 · 테스트 방식 (결과지 시트 비고의 [ ] 표시 = 무엇을 하는 테스트인지)</t>
        </is>
      </c>
    </row>
    <row r="27">
      <c r="B27" s="15" t="inlineStr">
        <is>
          <t>[데이터대조]</t>
        </is>
      </c>
      <c r="C27" s="10" t="inlineStr">
        <is>
          <t>매니저 화면 분석값과 결과지 화면의 값이 같은지 눈으로 대조</t>
        </is>
      </c>
    </row>
    <row r="28">
      <c r="B28" s="15" t="inlineStr">
        <is>
          <t>[규칙계산]</t>
        </is>
      </c>
      <c r="C28" s="10" t="inlineStr">
        <is>
          <t>정해진 규칙(점수 차이·색 분기 등)대로 나왔는지 확인</t>
        </is>
      </c>
    </row>
    <row r="29">
      <c r="B29" s="15" t="inlineStr">
        <is>
          <t>[정적검사]</t>
        </is>
      </c>
      <c r="C29" s="10" t="inlineStr">
        <is>
          <t>화면에 정해진 문구·요소가 있는지 / 없는지 확인</t>
        </is>
      </c>
    </row>
    <row r="30">
      <c r="B30" s="15" t="inlineStr">
        <is>
          <t>[렌더측정]</t>
        </is>
      </c>
      <c r="C30" s="10" t="inlineStr">
        <is>
          <t>인쇄·레이아웃이 안 깨지는지(넘침·잘림) 확인</t>
        </is>
      </c>
    </row>
    <row r="31">
      <c r="B31" s="15" t="inlineStr">
        <is>
          <t>[육안]</t>
        </is>
      </c>
      <c r="C31" s="10" t="inlineStr">
        <is>
          <t>스크린샷으로 눈으로 확인</t>
        </is>
      </c>
    </row>
    <row r="32">
      <c r="B32" s="16" t="inlineStr">
        <is>
          <t>· API 시트 = API 호출 후 응답(JSON)이 기대대로인지 확인   /   어드민 시트 = 화면에서 클릭·입력 후 동작·표시 결과 확인</t>
        </is>
      </c>
    </row>
    <row r="34">
      <c r="B34" s="12" t="inlineStr">
        <is>
          <t>■ 진행 대시보드 · 시트별 (자동 집계)</t>
        </is>
      </c>
    </row>
    <row r="35">
      <c r="B35" s="17" t="inlineStr">
        <is>
          <t>시트</t>
        </is>
      </c>
      <c r="C35" s="17" t="inlineStr">
        <is>
          <t>전체</t>
        </is>
      </c>
      <c r="D35" s="17" t="inlineStr">
        <is>
          <t>미실행</t>
        </is>
      </c>
      <c r="E35" s="17" t="inlineStr">
        <is>
          <t>Pass</t>
        </is>
      </c>
      <c r="F35" s="17" t="inlineStr">
        <is>
          <t>Fail</t>
        </is>
      </c>
      <c r="G35" s="17" t="inlineStr">
        <is>
          <t>N/A</t>
        </is>
      </c>
      <c r="H35" s="17" t="inlineStr">
        <is>
          <t>Blocked</t>
        </is>
      </c>
      <c r="I35" s="17" t="inlineStr">
        <is>
          <t>통과율</t>
        </is>
      </c>
    </row>
    <row r="36">
      <c r="B36" s="18" t="inlineStr">
        <is>
          <t>TC_결과지</t>
        </is>
      </c>
      <c r="C36" s="18">
        <f>COUNTA('TC_결과지'!B2:B2000)</f>
        <v/>
      </c>
      <c r="D36" s="18">
        <f>C36-E36-F36-G36-H36</f>
        <v/>
      </c>
      <c r="E36" s="18">
        <f>COUNTIF('TC_결과지'!K2:K2000,"Pass")</f>
        <v/>
      </c>
      <c r="F36" s="18">
        <f>COUNTIF('TC_결과지'!K2:K2000,"Fail")</f>
        <v/>
      </c>
      <c r="G36" s="18">
        <f>COUNTIF('TC_결과지'!K2:K2000,"N/A")</f>
        <v/>
      </c>
      <c r="H36" s="18">
        <f>COUNTIF('TC_결과지'!K2:K2000,"Blocked")</f>
        <v/>
      </c>
      <c r="I36" s="19">
        <f>IFERROR(E36/(E36+F36),"-")</f>
        <v/>
      </c>
    </row>
    <row r="37">
      <c r="B37" s="18" t="inlineStr">
        <is>
          <t>TC_API</t>
        </is>
      </c>
      <c r="C37" s="18">
        <f>COUNTA('TC_API'!B2:B2000)</f>
        <v/>
      </c>
      <c r="D37" s="18">
        <f>C37-E37-F37-G37-H37</f>
        <v/>
      </c>
      <c r="E37" s="18">
        <f>COUNTIF('TC_API'!K2:K2000,"Pass")</f>
        <v/>
      </c>
      <c r="F37" s="18">
        <f>COUNTIF('TC_API'!K2:K2000,"Fail")</f>
        <v/>
      </c>
      <c r="G37" s="18">
        <f>COUNTIF('TC_API'!K2:K2000,"N/A")</f>
        <v/>
      </c>
      <c r="H37" s="18">
        <f>COUNTIF('TC_API'!K2:K2000,"Blocked")</f>
        <v/>
      </c>
      <c r="I37" s="19">
        <f>IFERROR(E37/(E37+F37),"-")</f>
        <v/>
      </c>
    </row>
    <row r="38">
      <c r="B38" s="18" t="inlineStr">
        <is>
          <t>TC_어드민</t>
        </is>
      </c>
      <c r="C38" s="18">
        <f>COUNTA('TC_어드민'!B2:B2000)</f>
        <v/>
      </c>
      <c r="D38" s="18">
        <f>C38-E38-F38-G38-H38</f>
        <v/>
      </c>
      <c r="E38" s="18">
        <f>COUNTIF('TC_어드민'!K2:K2000,"Pass")</f>
        <v/>
      </c>
      <c r="F38" s="18">
        <f>COUNTIF('TC_어드민'!K2:K2000,"Fail")</f>
        <v/>
      </c>
      <c r="G38" s="18">
        <f>COUNTIF('TC_어드민'!K2:K2000,"N/A")</f>
        <v/>
      </c>
      <c r="H38" s="18">
        <f>COUNTIF('TC_어드민'!K2:K2000,"Blocked")</f>
        <v/>
      </c>
      <c r="I38" s="19">
        <f>IFERROR(E38/(E38+F38),"-")</f>
        <v/>
      </c>
    </row>
    <row r="39">
      <c r="B39" s="20" t="inlineStr">
        <is>
          <t>합계</t>
        </is>
      </c>
      <c r="C39" s="20">
        <f>SUM(C36:C38)</f>
        <v/>
      </c>
      <c r="D39" s="20">
        <f>SUM(D36:D38)</f>
        <v/>
      </c>
      <c r="E39" s="20">
        <f>SUM(E36:E38)</f>
        <v/>
      </c>
      <c r="F39" s="20">
        <f>SUM(F36:F38)</f>
        <v/>
      </c>
      <c r="G39" s="20">
        <f>SUM(G36:G38)</f>
        <v/>
      </c>
      <c r="H39" s="20">
        <f>SUM(H36:H38)</f>
        <v/>
      </c>
      <c r="I39" s="21">
        <f>IFERROR(E39/(E39+F39),"-")</f>
        <v/>
      </c>
    </row>
    <row r="41">
      <c r="B41" s="12" t="inlineStr">
        <is>
          <t>■ 진행 대시보드 · 우선순위별 (자동 집계)</t>
        </is>
      </c>
    </row>
    <row r="42">
      <c r="B42" s="17" t="inlineStr">
        <is>
          <t>우선순위</t>
        </is>
      </c>
      <c r="C42" s="17" t="inlineStr">
        <is>
          <t>전체</t>
        </is>
      </c>
      <c r="D42" s="17" t="inlineStr">
        <is>
          <t>미실행</t>
        </is>
      </c>
      <c r="E42" s="17" t="inlineStr">
        <is>
          <t>Pass</t>
        </is>
      </c>
      <c r="F42" s="17" t="inlineStr">
        <is>
          <t>Fail</t>
        </is>
      </c>
      <c r="G42" s="17" t="inlineStr">
        <is>
          <t>N/A</t>
        </is>
      </c>
      <c r="H42" s="17" t="inlineStr">
        <is>
          <t>Blocked</t>
        </is>
      </c>
      <c r="I42" s="17" t="inlineStr">
        <is>
          <t>통과율</t>
        </is>
      </c>
    </row>
    <row r="43">
      <c r="B43" s="22" t="inlineStr">
        <is>
          <t>P1</t>
        </is>
      </c>
      <c r="C43" s="18">
        <f>COUNTIF('TC_결과지'!E2:E2000,"P1")+COUNTIF('TC_API'!E2:E2000,"P1")+COUNTIF('TC_어드민'!E2:E2000,"P1")</f>
        <v/>
      </c>
      <c r="D43" s="18">
        <f>C43-E43-F43-G43-H43</f>
        <v/>
      </c>
      <c r="E43" s="18">
        <f>COUNTIFS('TC_결과지'!E2:E2000,"P1",'TC_결과지'!K2:K2000,"Pass")+COUNTIFS('TC_API'!E2:E2000,"P1",'TC_API'!K2:K2000,"Pass")+COUNTIFS('TC_어드민'!E2:E2000,"P1",'TC_어드민'!K2:K2000,"Pass")</f>
        <v/>
      </c>
      <c r="F43" s="18">
        <f>COUNTIFS('TC_결과지'!E2:E2000,"P1",'TC_결과지'!K2:K2000,"Fail")+COUNTIFS('TC_API'!E2:E2000,"P1",'TC_API'!K2:K2000,"Fail")+COUNTIFS('TC_어드민'!E2:E2000,"P1",'TC_어드민'!K2:K2000,"Fail")</f>
        <v/>
      </c>
      <c r="G43" s="18">
        <f>COUNTIFS('TC_결과지'!E2:E2000,"P1",'TC_결과지'!K2:K2000,"N/A")+COUNTIFS('TC_API'!E2:E2000,"P1",'TC_API'!K2:K2000,"N/A")+COUNTIFS('TC_어드민'!E2:E2000,"P1",'TC_어드민'!K2:K2000,"N/A")</f>
        <v/>
      </c>
      <c r="H43" s="18">
        <f>COUNTIFS('TC_결과지'!E2:E2000,"P1",'TC_결과지'!K2:K2000,"Blocked")+COUNTIFS('TC_API'!E2:E2000,"P1",'TC_API'!K2:K2000,"Blocked")+COUNTIFS('TC_어드민'!E2:E2000,"P1",'TC_어드민'!K2:K2000,"Blocked")</f>
        <v/>
      </c>
      <c r="I43" s="19">
        <f>IFERROR(E43/(E43+F43),"-")</f>
        <v/>
      </c>
    </row>
    <row r="44">
      <c r="B44" s="23" t="inlineStr">
        <is>
          <t>P2</t>
        </is>
      </c>
      <c r="C44" s="18">
        <f>COUNTIF('TC_결과지'!E2:E2000,"P2")+COUNTIF('TC_API'!E2:E2000,"P2")+COUNTIF('TC_어드민'!E2:E2000,"P2")</f>
        <v/>
      </c>
      <c r="D44" s="18">
        <f>C44-E44-F44-G44-H44</f>
        <v/>
      </c>
      <c r="E44" s="18">
        <f>COUNTIFS('TC_결과지'!E2:E2000,"P2",'TC_결과지'!K2:K2000,"Pass")+COUNTIFS('TC_API'!E2:E2000,"P2",'TC_API'!K2:K2000,"Pass")+COUNTIFS('TC_어드민'!E2:E2000,"P2",'TC_어드민'!K2:K2000,"Pass")</f>
        <v/>
      </c>
      <c r="F44" s="18">
        <f>COUNTIFS('TC_결과지'!E2:E2000,"P2",'TC_결과지'!K2:K2000,"Fail")+COUNTIFS('TC_API'!E2:E2000,"P2",'TC_API'!K2:K2000,"Fail")+COUNTIFS('TC_어드민'!E2:E2000,"P2",'TC_어드민'!K2:K2000,"Fail")</f>
        <v/>
      </c>
      <c r="G44" s="18">
        <f>COUNTIFS('TC_결과지'!E2:E2000,"P2",'TC_결과지'!K2:K2000,"N/A")+COUNTIFS('TC_API'!E2:E2000,"P2",'TC_API'!K2:K2000,"N/A")+COUNTIFS('TC_어드민'!E2:E2000,"P2",'TC_어드민'!K2:K2000,"N/A")</f>
        <v/>
      </c>
      <c r="H44" s="18">
        <f>COUNTIFS('TC_결과지'!E2:E2000,"P2",'TC_결과지'!K2:K2000,"Blocked")+COUNTIFS('TC_API'!E2:E2000,"P2",'TC_API'!K2:K2000,"Blocked")+COUNTIFS('TC_어드민'!E2:E2000,"P2",'TC_어드민'!K2:K2000,"Blocked")</f>
        <v/>
      </c>
      <c r="I44" s="19">
        <f>IFERROR(E44/(E44+F44),"-")</f>
        <v/>
      </c>
    </row>
    <row r="45">
      <c r="B45" s="23" t="inlineStr">
        <is>
          <t>P3</t>
        </is>
      </c>
      <c r="C45" s="18">
        <f>COUNTIF('TC_결과지'!E2:E2000,"P3")+COUNTIF('TC_API'!E2:E2000,"P3")+COUNTIF('TC_어드민'!E2:E2000,"P3")</f>
        <v/>
      </c>
      <c r="D45" s="18">
        <f>C45-E45-F45-G45-H45</f>
        <v/>
      </c>
      <c r="E45" s="18">
        <f>COUNTIFS('TC_결과지'!E2:E2000,"P3",'TC_결과지'!K2:K2000,"Pass")+COUNTIFS('TC_API'!E2:E2000,"P3",'TC_API'!K2:K2000,"Pass")+COUNTIFS('TC_어드민'!E2:E2000,"P3",'TC_어드민'!K2:K2000,"Pass")</f>
        <v/>
      </c>
      <c r="F45" s="18">
        <f>COUNTIFS('TC_결과지'!E2:E2000,"P3",'TC_결과지'!K2:K2000,"Fail")+COUNTIFS('TC_API'!E2:E2000,"P3",'TC_API'!K2:K2000,"Fail")+COUNTIFS('TC_어드민'!E2:E2000,"P3",'TC_어드민'!K2:K2000,"Fail")</f>
        <v/>
      </c>
      <c r="G45" s="18">
        <f>COUNTIFS('TC_결과지'!E2:E2000,"P3",'TC_결과지'!K2:K2000,"N/A")+COUNTIFS('TC_API'!E2:E2000,"P3",'TC_API'!K2:K2000,"N/A")+COUNTIFS('TC_어드민'!E2:E2000,"P3",'TC_어드민'!K2:K2000,"N/A")</f>
        <v/>
      </c>
      <c r="H45" s="18">
        <f>COUNTIFS('TC_결과지'!E2:E2000,"P3",'TC_결과지'!K2:K2000,"Blocked")+COUNTIFS('TC_API'!E2:E2000,"P3",'TC_API'!K2:K2000,"Blocked")+COUNTIFS('TC_어드민'!E2:E2000,"P3",'TC_어드민'!K2:K2000,"Blocked")</f>
        <v/>
      </c>
      <c r="I45" s="19">
        <f>IFERROR(E45/(E45+F45),"-")</f>
        <v/>
      </c>
    </row>
    <row r="46">
      <c r="B46" s="24" t="inlineStr">
        <is>
          <t>※ P1 통과율이 7/02 릴리즈 가능 여부를 보는 핵심 지표입니다 (P1 전부 Pass + 치명 결함 0 → 릴리즈).</t>
        </is>
      </c>
    </row>
    <row r="48">
      <c r="B48" s="25" t="inlineStr">
        <is>
          <t>■ 결함 현황 (자동 집계)</t>
        </is>
      </c>
    </row>
    <row r="49">
      <c r="B49" s="26" t="inlineStr">
        <is>
          <t>심각도</t>
        </is>
      </c>
      <c r="C49" s="26" t="inlineStr">
        <is>
          <t>건수</t>
        </is>
      </c>
      <c r="D49" s="27" t="inlineStr"/>
      <c r="E49" s="26" t="inlineStr">
        <is>
          <t>개발 상태</t>
        </is>
      </c>
      <c r="F49" s="26" t="inlineStr">
        <is>
          <t>건수</t>
        </is>
      </c>
    </row>
    <row r="50">
      <c r="B50" s="10" t="inlineStr">
        <is>
          <t>치명</t>
        </is>
      </c>
      <c r="C50" s="27">
        <f>COUNTIF('TC_결과지'!O2:O2000,"치명")+COUNTIF('TC_API'!O2:O2000,"치명")+COUNTIF('TC_어드민'!O2:O2000,"치명")</f>
        <v/>
      </c>
      <c r="E50" s="10" t="inlineStr">
        <is>
          <t>미착수</t>
        </is>
      </c>
      <c r="F50" s="27">
        <f>COUNTIF('TC_결과지'!P2:P2000,"미착수")+COUNTIF('TC_API'!P2:P2000,"미착수")+COUNTIF('TC_어드민'!P2:P2000,"미착수")</f>
        <v/>
      </c>
    </row>
    <row r="51">
      <c r="B51" s="10" t="inlineStr">
        <is>
          <t>중</t>
        </is>
      </c>
      <c r="C51" s="27">
        <f>COUNTIF('TC_결과지'!O2:O2000,"중")+COUNTIF('TC_API'!O2:O2000,"중")+COUNTIF('TC_어드민'!O2:O2000,"중")</f>
        <v/>
      </c>
      <c r="E51" s="10" t="inlineStr">
        <is>
          <t>수정중</t>
        </is>
      </c>
      <c r="F51" s="27">
        <f>COUNTIF('TC_결과지'!P2:P2000,"수정중")+COUNTIF('TC_API'!P2:P2000,"수정중")+COUNTIF('TC_어드민'!P2:P2000,"수정중")</f>
        <v/>
      </c>
    </row>
    <row r="52">
      <c r="B52" s="10" t="inlineStr">
        <is>
          <t>경</t>
        </is>
      </c>
      <c r="C52" s="27">
        <f>COUNTIF('TC_결과지'!O2:O2000,"경")+COUNTIF('TC_API'!O2:O2000,"경")+COUNTIF('TC_어드민'!O2:O2000,"경")</f>
        <v/>
      </c>
      <c r="E52" s="10" t="inlineStr">
        <is>
          <t>수정완료</t>
        </is>
      </c>
      <c r="F52" s="27">
        <f>COUNTIF('TC_결과지'!P2:P2000,"수정완료")+COUNTIF('TC_API'!P2:P2000,"수정완료")+COUNTIF('TC_어드민'!P2:P2000,"수정완료")</f>
        <v/>
      </c>
    </row>
    <row r="53">
      <c r="E53" s="10" t="inlineStr">
        <is>
          <t>보류</t>
        </is>
      </c>
      <c r="F53" s="27">
        <f>COUNTIF('TC_결과지'!P2:P2000,"보류")+COUNTIF('TC_API'!P2:P2000,"보류")+COUNTIF('TC_어드민'!P2:P2000,"보류")</f>
        <v/>
      </c>
    </row>
    <row r="55">
      <c r="B55" s="28" t="inlineStr">
        <is>
          <t>※ 테스트 가능 전제(시트별 우선 확인)</t>
        </is>
      </c>
    </row>
    <row r="56">
      <c r="B56" s="16" t="inlineStr">
        <is>
          <t>· [범위] 웹 결과지는 이번 프로젝트 범위 밖 — PDF·엑셀 결과지만 검증(SDS).</t>
        </is>
      </c>
    </row>
    <row r="57">
      <c r="B57" s="16" t="inlineStr">
        <is>
          <t>· TC_결과지: 샘플 자소서를 접수→분석→결과지까지 돌린 산출물 검증. 값은 매니저 화면 분석값과 대조. 단일/복수 라이선스·조합·통합본문·엑셀(Q~X) 포함.</t>
        </is>
      </c>
    </row>
    <row r="58">
      <c r="B58" s="16" t="inlineStr">
        <is>
          <t>· TC_API: execute API·공방 프롬프트 배포 후 테스트 가능. 미배포 항목은 Blocked 처리.</t>
        </is>
      </c>
    </row>
    <row r="59">
      <c r="B59" s="16" t="inlineStr">
        <is>
          <t>· TC_어드민: 어드민 화면 구현분 기준(접수·매니저·설정 포함). 세부 기대값은 화면정의서 확정 시 갱신 필요.</t>
        </is>
      </c>
    </row>
    <row r="60">
      <c r="B60" s="16" t="inlineStr">
        <is>
          <t>· [확인필요-PM] 하드스킬 입력 방식(파일 업로드 vs plain text)·공방 프롬프트명은 PM 확정 후 반영. 비고 '확인 필요' 행 참조.</t>
        </is>
      </c>
    </row>
    <row r="61">
      <c r="B61" s="16" t="inlineStr">
        <is>
          <t>· 미구현 기능의 TC는 삭제하지 말고 Blocked로 두어 구현 완료 시 재실행할 것.</t>
        </is>
      </c>
    </row>
  </sheetData>
  <mergeCells count="13">
    <mergeCell ref="C28:I28"/>
    <mergeCell ref="C23:I23"/>
    <mergeCell ref="C31:I31"/>
    <mergeCell ref="C22:I22"/>
    <mergeCell ref="C18:I18"/>
    <mergeCell ref="C17:I17"/>
    <mergeCell ref="C21:I21"/>
    <mergeCell ref="B6:I7"/>
    <mergeCell ref="C24:I24"/>
    <mergeCell ref="C16:I16"/>
    <mergeCell ref="C29:I29"/>
    <mergeCell ref="C30:I30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4" customWidth="1" min="3" max="3"/>
    <col width="28" customWidth="1" min="4" max="4"/>
    <col width="12" customWidth="1" min="5" max="5"/>
    <col width="13" customWidth="1" min="6" max="6"/>
    <col width="24" customWidth="1" min="7" max="7"/>
  </cols>
  <sheetData>
    <row r="1">
      <c r="A1" s="29" t="inlineStr">
        <is>
          <t>개발 구현현황 — 개발자 기입용 (주요 변경사항 SDS 기준)</t>
        </is>
      </c>
    </row>
    <row r="2">
      <c r="A2" s="2" t="inlineStr">
        <is>
          <t>각 기능의 '구현 상태'를 됨/되는중/안됨으로 표시해 주세요. 이 표로 QC의 P1/Blocked를 확정합니다.</t>
        </is>
      </c>
    </row>
    <row r="4" ht="24" customHeight="1">
      <c r="A4" s="30" t="inlineStr">
        <is>
          <t>번호</t>
        </is>
      </c>
      <c r="B4" s="30" t="inlineStr">
        <is>
          <t>구분</t>
        </is>
      </c>
      <c r="C4" s="30" t="inlineStr">
        <is>
          <t>변경 기능</t>
        </is>
      </c>
      <c r="D4" s="30" t="inlineStr">
        <is>
          <t>관련 SDS</t>
        </is>
      </c>
      <c r="E4" s="30" t="inlineStr">
        <is>
          <t>구현 상태</t>
        </is>
      </c>
      <c r="F4" s="30" t="inlineStr">
        <is>
          <t>예상 완료일</t>
        </is>
      </c>
      <c r="G4" s="30" t="inlineStr">
        <is>
          <t>비고</t>
        </is>
      </c>
    </row>
    <row r="5">
      <c r="A5" s="31" t="n">
        <v>1</v>
      </c>
      <c r="B5" s="32" t="inlineStr">
        <is>
          <t>접수</t>
        </is>
      </c>
      <c r="C5" s="32" t="inlineStr">
        <is>
          <t>전형 통과 기준 '배수 기준' 단일화(점수 기준 제거)·사용여부 라디오 제거·별도 영역 분리(직무기술서 위) · 비교군 10명 미만 상위% 안내문</t>
        </is>
      </c>
      <c r="D5" s="32" t="inlineStr">
        <is>
          <t>프리즘 접수 화면 기능 개발</t>
        </is>
      </c>
      <c r="E5" s="31" t="inlineStr"/>
      <c r="F5" s="32" t="inlineStr"/>
      <c r="G5" s="32" t="inlineStr"/>
    </row>
    <row r="6">
      <c r="A6" s="31" t="n">
        <v>2</v>
      </c>
      <c r="B6" s="32" t="inlineStr">
        <is>
          <t>접수</t>
        </is>
      </c>
      <c r="C6" s="32" t="inlineStr">
        <is>
          <t>BP 버전 v2 라디오 제거(v3/v4만)·v3 선택 시 직무기술서 영역 미출력</t>
        </is>
      </c>
      <c r="D6" s="32" t="inlineStr">
        <is>
          <t>프리즘 접수 화면 기능 개발</t>
        </is>
      </c>
      <c r="E6" s="31" t="inlineStr"/>
      <c r="F6" s="32" t="inlineStr"/>
      <c r="G6" s="32" t="inlineStr"/>
    </row>
    <row r="7">
      <c r="A7" s="31" t="n">
        <v>3</v>
      </c>
      <c r="B7" s="32" t="inlineStr">
        <is>
          <t>접수</t>
        </is>
      </c>
      <c r="C7" s="32" t="inlineStr">
        <is>
          <t>직무기술서 업로드(필수·테이블 UI·3MB/10MB·중복불가·선택해제 시 소실, RP매칭과 공유)</t>
        </is>
      </c>
      <c r="D7" s="32" t="inlineStr">
        <is>
          <t>프리즘 접수 화면 기능 개발</t>
        </is>
      </c>
      <c r="E7" s="31" t="inlineStr"/>
      <c r="F7" s="32" t="inlineStr"/>
      <c r="G7" s="32" t="inlineStr"/>
    </row>
    <row r="8">
      <c r="A8" s="31" t="n">
        <v>4</v>
      </c>
      <c r="B8" s="32" t="inlineStr">
        <is>
          <t>접수</t>
        </is>
      </c>
      <c r="C8" s="32" t="inlineStr">
        <is>
          <t>RP매칭 부적격 기준 UI 변경(사용안함 라디오 제거·'점수 기준' 단일 체크박스, '점미만'·'부적격' 유지)</t>
        </is>
      </c>
      <c r="D8" s="32" t="inlineStr">
        <is>
          <t>프리즘 접수 화면 기능 개발</t>
        </is>
      </c>
      <c r="E8" s="31" t="inlineStr"/>
      <c r="F8" s="32" t="inlineStr"/>
      <c r="G8" s="32" t="inlineStr"/>
    </row>
    <row r="9">
      <c r="A9" s="31" t="n">
        <v>5</v>
      </c>
      <c r="B9" s="32" t="inlineStr">
        <is>
          <t>접수</t>
        </is>
      </c>
      <c r="C9" s="32" t="inlineStr">
        <is>
          <t>검사요청 확인 화면에 직무기술서 표현</t>
        </is>
      </c>
      <c r="D9" s="32" t="inlineStr">
        <is>
          <t>검사 요청 확인 직무기술서 표현</t>
        </is>
      </c>
      <c r="E9" s="31" t="inlineStr"/>
      <c r="F9" s="32" t="inlineStr"/>
      <c r="G9" s="32" t="inlineStr"/>
    </row>
    <row r="10">
      <c r="A10" s="31" t="n">
        <v>6</v>
      </c>
      <c r="B10" s="32" t="inlineStr">
        <is>
          <t>매니저</t>
        </is>
      </c>
      <c r="C10" s="32" t="inlineStr">
        <is>
          <t>하드스킬 키워드 관리(문장형식 제거→텍스트형식, 생성/재생성/삭제/추가)</t>
        </is>
      </c>
      <c r="D10" s="32" t="inlineStr">
        <is>
          <t>직무기술서 관리 하드스킬 키워드</t>
        </is>
      </c>
      <c r="E10" s="31" t="inlineStr"/>
      <c r="F10" s="32" t="inlineStr"/>
      <c r="G10" s="32" t="inlineStr"/>
    </row>
    <row r="11">
      <c r="A11" s="31" t="n">
        <v>7</v>
      </c>
      <c r="B11" s="32" t="inlineStr">
        <is>
          <t>매니저</t>
        </is>
      </c>
      <c r="C11" s="32" t="inlineStr">
        <is>
          <t>BP평가 결과확인 — 한 줄 코멘트 관리</t>
        </is>
      </c>
      <c r="D11" s="32" t="inlineStr">
        <is>
          <t>BP평가 결과확인 기능 추가</t>
        </is>
      </c>
      <c r="E11" s="31" t="inlineStr"/>
      <c r="F11" s="32" t="inlineStr"/>
      <c r="G11" s="32" t="inlineStr"/>
    </row>
    <row r="12">
      <c r="A12" s="31" t="n">
        <v>8</v>
      </c>
      <c r="B12" s="32" t="inlineStr">
        <is>
          <t>매니저</t>
        </is>
      </c>
      <c r="C12" s="32" t="inlineStr">
        <is>
          <t>BP평가 결과확인 — 자소서 특장점 관리</t>
        </is>
      </c>
      <c r="D12" s="32" t="inlineStr">
        <is>
          <t>BP평가 결과확인 기능 추가</t>
        </is>
      </c>
      <c r="E12" s="31" t="inlineStr"/>
      <c r="F12" s="32" t="inlineStr"/>
      <c r="G12" s="32" t="inlineStr"/>
    </row>
    <row r="13">
      <c r="A13" s="31" t="n">
        <v>9</v>
      </c>
      <c r="B13" s="32" t="inlineStr">
        <is>
          <t>매니저</t>
        </is>
      </c>
      <c r="C13" s="32" t="inlineStr">
        <is>
          <t>BP평가 결과확인 — 근거요약 관리</t>
        </is>
      </c>
      <c r="D13" s="32" t="inlineStr">
        <is>
          <t>BP평가 결과확인 기능 추가</t>
        </is>
      </c>
      <c r="E13" s="31" t="inlineStr"/>
      <c r="F13" s="32" t="inlineStr"/>
      <c r="G13" s="32" t="inlineStr"/>
    </row>
    <row r="14">
      <c r="A14" s="31" t="n">
        <v>10</v>
      </c>
      <c r="B14" s="32" t="inlineStr">
        <is>
          <t>매니저</t>
        </is>
      </c>
      <c r="C14" s="32" t="inlineStr">
        <is>
          <t>BP평가 결과확인 — 하드스킬 근거문장 관리</t>
        </is>
      </c>
      <c r="D14" s="32" t="inlineStr">
        <is>
          <t>BP평가 결과확인 기능 추가</t>
        </is>
      </c>
      <c r="E14" s="31" t="inlineStr"/>
      <c r="F14" s="32" t="inlineStr"/>
      <c r="G14" s="32" t="inlineStr"/>
    </row>
    <row r="15">
      <c r="A15" s="31" t="n">
        <v>11</v>
      </c>
      <c r="B15" s="32" t="inlineStr">
        <is>
          <t>매니저</t>
        </is>
      </c>
      <c r="C15" s="32" t="inlineStr">
        <is>
          <t>BP평가 설정 — 직무기술서 설정(직무별)</t>
        </is>
      </c>
      <c r="D15" s="32" t="inlineStr">
        <is>
          <t>BP평가 설정 직무기술서</t>
        </is>
      </c>
      <c r="E15" s="31" t="inlineStr"/>
      <c r="F15" s="32" t="inlineStr"/>
      <c r="G15" s="32" t="inlineStr"/>
    </row>
    <row r="16">
      <c r="A16" s="31" t="n">
        <v>12</v>
      </c>
      <c r="B16" s="32" t="inlineStr">
        <is>
          <t>API</t>
        </is>
      </c>
      <c r="C16" s="32" t="inlineStr">
        <is>
          <t>한 줄 코멘트 생성 API (bp-v4-comment)</t>
        </is>
      </c>
      <c r="D16" s="32" t="inlineStr">
        <is>
          <t>한 줄 코멘트 생성 API</t>
        </is>
      </c>
      <c r="E16" s="31" t="inlineStr"/>
      <c r="F16" s="32" t="inlineStr"/>
      <c r="G16" s="32" t="inlineStr"/>
    </row>
    <row r="17">
      <c r="A17" s="31" t="n">
        <v>13</v>
      </c>
      <c r="B17" s="32" t="inlineStr">
        <is>
          <t>API</t>
        </is>
      </c>
      <c r="C17" s="32" t="inlineStr">
        <is>
          <t>자소서 특장점 요약 API (bp-point-summary)</t>
        </is>
      </c>
      <c r="D17" s="32" t="inlineStr">
        <is>
          <t>자소서 특장점 요약 API</t>
        </is>
      </c>
      <c r="E17" s="31" t="inlineStr"/>
      <c r="F17" s="32" t="inlineStr"/>
      <c r="G17" s="32" t="inlineStr"/>
    </row>
    <row r="18">
      <c r="A18" s="31" t="n">
        <v>14</v>
      </c>
      <c r="B18" s="32" t="inlineStr">
        <is>
          <t>API</t>
        </is>
      </c>
      <c r="C18" s="32" t="inlineStr">
        <is>
          <t>하드스킬 추출 API (extract-jd-hardskill)</t>
        </is>
      </c>
      <c r="D18" s="32" t="inlineStr">
        <is>
          <t>하드스킬 추출 API</t>
        </is>
      </c>
      <c r="E18" s="31" t="inlineStr"/>
      <c r="F18" s="32" t="inlineStr"/>
      <c r="G18" s="32" t="inlineStr"/>
    </row>
    <row r="19">
      <c r="A19" s="31" t="n">
        <v>15</v>
      </c>
      <c r="B19" s="32" t="inlineStr">
        <is>
          <t>API</t>
        </is>
      </c>
      <c r="C19" s="32" t="inlineStr">
        <is>
          <t>하드스킬 매칭/검출 API (hardskill-extract-evidence-test)</t>
        </is>
      </c>
      <c r="D19" s="32" t="inlineStr">
        <is>
          <t>하드스킬 매칭 API</t>
        </is>
      </c>
      <c r="E19" s="31" t="inlineStr"/>
      <c r="F19" s="32" t="inlineStr"/>
      <c r="G19" s="32" t="inlineStr"/>
    </row>
    <row r="20">
      <c r="A20" s="31" t="n">
        <v>16</v>
      </c>
      <c r="B20" s="32" t="inlineStr">
        <is>
          <t>결과지(PDF)</t>
        </is>
      </c>
      <c r="C20" s="32" t="inlineStr">
        <is>
          <t>PDF 전체 family 디자인 적용(레이아웃 현행, 표현만)</t>
        </is>
      </c>
      <c r="D20" s="32" t="inlineStr">
        <is>
          <t>전체 라이선스 디자인/종합결과</t>
        </is>
      </c>
      <c r="E20" s="31" t="inlineStr"/>
      <c r="F20" s="32" t="inlineStr"/>
      <c r="G20" s="32" t="inlineStr"/>
    </row>
    <row r="21">
      <c r="A21" s="31" t="n">
        <v>17</v>
      </c>
      <c r="B21" s="32" t="inlineStr">
        <is>
          <t>결과지(PDF)</t>
        </is>
      </c>
      <c r="C21" s="32" t="inlineStr">
        <is>
          <t>단일 라이선스 구성(종합결과 없음 + 상단 응시자정보)</t>
        </is>
      </c>
      <c r="D21" s="32" t="inlineStr">
        <is>
          <t>전체 라이선스 디자인/종합결과</t>
        </is>
      </c>
      <c r="E21" s="31" t="inlineStr"/>
      <c r="F21" s="32" t="inlineStr"/>
      <c r="G21" s="32" t="inlineStr"/>
    </row>
    <row r="22">
      <c r="A22" s="31" t="n">
        <v>18</v>
      </c>
      <c r="B22" s="32" t="inlineStr">
        <is>
          <t>결과지(PDF)</t>
        </is>
      </c>
      <c r="C22" s="32" t="inlineStr">
        <is>
          <t>복수 라이선스 구성(종합결과 페이지)</t>
        </is>
      </c>
      <c r="D22" s="32" t="inlineStr">
        <is>
          <t>전체 라이선스 디자인/종합결과</t>
        </is>
      </c>
      <c r="E22" s="31" t="inlineStr"/>
      <c r="F22" s="32" t="inlineStr"/>
      <c r="G22" s="32" t="inlineStr"/>
    </row>
    <row r="23">
      <c r="A23" s="31" t="n">
        <v>19</v>
      </c>
      <c r="B23" s="32" t="inlineStr">
        <is>
          <t>결과지(BP)</t>
        </is>
      </c>
      <c r="C23" s="32" t="inlineStr">
        <is>
          <t>BP 콘텐츠(점수·상위n%·전형통과·한줄코멘트·특장점·하드스킬·프로파일·강점검토·문항별·BP상세)</t>
        </is>
      </c>
      <c r="D23" s="32" t="inlineStr">
        <is>
          <t>BP평가 콘텐츠 상세</t>
        </is>
      </c>
      <c r="E23" s="31" t="inlineStr"/>
      <c r="F23" s="32" t="inlineStr"/>
      <c r="G23" s="32" t="inlineStr"/>
    </row>
    <row r="24">
      <c r="A24" s="31" t="n">
        <v>20</v>
      </c>
      <c r="B24" s="32" t="inlineStr">
        <is>
          <t>다운로드</t>
        </is>
      </c>
      <c r="C24" s="32" t="inlineStr">
        <is>
          <t>프리즘워크 PDF 다운로드 옵션 변경</t>
        </is>
      </c>
      <c r="D24" s="32" t="inlineStr">
        <is>
          <t>프리즘워크 PDF 다운로드 옵션</t>
        </is>
      </c>
      <c r="E24" s="31" t="inlineStr"/>
      <c r="F24" s="32" t="inlineStr"/>
      <c r="G24" s="32" t="inlineStr"/>
    </row>
    <row r="25">
      <c r="A25" s="31" t="n">
        <v>21</v>
      </c>
      <c r="B25" s="32" t="inlineStr">
        <is>
          <t>다운로드</t>
        </is>
      </c>
      <c r="C25" s="32" t="inlineStr">
        <is>
          <t>엑셀 결과지 변경(전형통과 텍스트·하드스킬 검출)</t>
        </is>
      </c>
      <c r="D25" s="32" t="inlineStr">
        <is>
          <t>엑셀파일 결과지 변경</t>
        </is>
      </c>
      <c r="E25" s="31" t="inlineStr"/>
      <c r="F25" s="32" t="inlineStr"/>
      <c r="G25" s="32" t="inlineStr"/>
    </row>
  </sheetData>
  <conditionalFormatting sqref="E5:E25">
    <cfRule type="cellIs" priority="1" operator="equal" dxfId="0">
      <formula>"됨"</formula>
    </cfRule>
    <cfRule type="cellIs" priority="2" operator="equal" dxfId="1">
      <formula>"되는중"</formula>
    </cfRule>
    <cfRule type="cellIs" priority="3" operator="equal" dxfId="2">
      <formula>"안됨"</formula>
    </cfRule>
  </conditionalFormatting>
  <dataValidations count="1">
    <dataValidation sqref="E5:E25" showDropDown="0" showInputMessage="0" showErrorMessage="0" allowBlank="1" type="list">
      <formula1>"됨,되는중,안됨,해당없음"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5" customWidth="1" min="3" max="3"/>
    <col width="8" customWidth="1" min="4" max="4"/>
    <col width="12" customWidth="1" min="5" max="5"/>
    <col width="28" customWidth="1" min="6" max="6"/>
    <col width="9" customWidth="1" min="7" max="7"/>
    <col width="7" customWidth="1" min="8" max="8"/>
    <col width="7" customWidth="1" min="9" max="9"/>
    <col width="7" customWidth="1" min="10" max="10"/>
    <col width="9" customWidth="1" min="11" max="11"/>
    <col width="10" customWidth="1" min="12" max="12"/>
  </cols>
  <sheetData>
    <row r="1">
      <c r="A1" s="3" t="inlineStr">
        <is>
          <t>테스트 시나리오 — 옵션(라이선스 × 전형통과 × 통합본문) 조합 + 작업자 분배·진행</t>
        </is>
      </c>
    </row>
    <row r="2">
      <c r="A2" s="2" t="inlineStr">
        <is>
          <t>담당자 이름은 이 시트 [담당](G)열에서만 관리 → TC 3종 [담당]이 INDEX/MATCH로 같은 이름을 자동으로 가져옴. 분배/완료는 작업자N 키(L열 ↔ TC 키열)로 자동 집계.</t>
        </is>
      </c>
    </row>
    <row r="3">
      <c r="A3" s="24" t="inlineStr">
        <is>
          <t>※ 담당자 이름은 이 시트 [담당](G)열에서만 수정하세요 → TC 3종 [담당]이 자동으로 같은 이름을 가져옵니다. (분배/완료는 G 이름이 아니라 L열 작업자N 키로 집계)</t>
        </is>
      </c>
    </row>
    <row r="4" ht="24" customHeight="1">
      <c r="A4" s="30" t="inlineStr">
        <is>
          <t>시나리오</t>
        </is>
      </c>
      <c r="B4" s="30" t="inlineStr">
        <is>
          <t>라이선스 조합</t>
        </is>
      </c>
      <c r="C4" s="30" t="inlineStr">
        <is>
          <t>전형통과 기준</t>
        </is>
      </c>
      <c r="D4" s="30" t="inlineStr">
        <is>
          <t>통합본문</t>
        </is>
      </c>
      <c r="E4" s="30" t="inlineStr">
        <is>
          <t>샘플 자소서</t>
        </is>
      </c>
      <c r="F4" s="30" t="inlineStr">
        <is>
          <t>적용 TC(주)</t>
        </is>
      </c>
      <c r="G4" s="30" t="inlineStr">
        <is>
          <t>담당</t>
        </is>
      </c>
      <c r="H4" s="30" t="inlineStr">
        <is>
          <t>분배</t>
        </is>
      </c>
      <c r="I4" s="30" t="inlineStr">
        <is>
          <t>완료</t>
        </is>
      </c>
      <c r="J4" s="30" t="inlineStr">
        <is>
          <t>남은</t>
        </is>
      </c>
      <c r="K4" s="30" t="inlineStr">
        <is>
          <t>상태</t>
        </is>
      </c>
      <c r="L4" s="30" t="inlineStr">
        <is>
          <t>키(작업자)</t>
        </is>
      </c>
    </row>
    <row r="5">
      <c r="A5" s="32" t="inlineStr">
        <is>
          <t>SC-1 단독·배수권장</t>
        </is>
      </c>
      <c r="B5" s="32" t="inlineStr">
        <is>
          <t>BP 단독</t>
        </is>
      </c>
      <c r="C5" s="32" t="inlineStr">
        <is>
          <t>배수기준 → 권장(이내)</t>
        </is>
      </c>
      <c r="D5" s="31" t="inlineStr">
        <is>
          <t>OFF</t>
        </is>
      </c>
      <c r="E5" s="31" t="inlineStr">
        <is>
          <t>B 정수민</t>
        </is>
      </c>
      <c r="F5" s="32" t="inlineStr">
        <is>
          <t>단독 구성(W1·Q1·Q2) · 배수기준 권장칩(S3·E) · 통합본문 OFF=개별본문(X3)</t>
        </is>
      </c>
      <c r="G5" s="31" t="inlineStr">
        <is>
          <t>조아영</t>
        </is>
      </c>
      <c r="H5" s="31">
        <f>COUNTIF('TC_결과지'!$T$2:$T$2000,$L5)+COUNTIF('TC_API'!$T$2:$T$2000,$L5)+COUNTIF('TC_어드민'!$T$2:$T$2000,$L5)</f>
        <v/>
      </c>
      <c r="I5" s="31">
        <f>COUNTIFS('TC_결과지'!$T$2:$T$2000,$L5,'TC_결과지'!$K$2:$K$2000,"&lt;&gt;")+COUNTIFS('TC_API'!$T$2:$T$2000,$L5,'TC_API'!$K$2:$K$2000,"&lt;&gt;")+COUNTIFS('TC_어드민'!$T$2:$T$2000,$L5,'TC_어드민'!$K$2:$K$2000,"&lt;&gt;")</f>
        <v/>
      </c>
      <c r="J5" s="31">
        <f>H5-I5</f>
        <v/>
      </c>
      <c r="K5" s="31" t="inlineStr"/>
      <c r="L5" s="31" t="inlineStr">
        <is>
          <t>작업자1</t>
        </is>
      </c>
    </row>
    <row r="6">
      <c r="A6" s="32" t="inlineStr">
        <is>
          <t>SC-2 단독·배수검토필요</t>
        </is>
      </c>
      <c r="B6" s="32" t="inlineStr">
        <is>
          <t>BP 단독</t>
        </is>
      </c>
      <c r="C6" s="32" t="inlineStr">
        <is>
          <t>배수기준 → 검토 필요(미달)</t>
        </is>
      </c>
      <c r="D6" s="31" t="inlineStr">
        <is>
          <t>OFF</t>
        </is>
      </c>
      <c r="E6" s="31" t="inlineStr">
        <is>
          <t>C 김도윤</t>
        </is>
      </c>
      <c r="F6" s="32" t="inlineStr">
        <is>
          <t>단독 구성(W1) · 배수기준 검토필요 주황칩(S3·E4)</t>
        </is>
      </c>
      <c r="G6" s="31" t="inlineStr">
        <is>
          <t>기효선1</t>
        </is>
      </c>
      <c r="H6" s="31">
        <f>COUNTIF('TC_결과지'!$T$2:$T$2000,$L6)+COUNTIF('TC_API'!$T$2:$T$2000,$L6)+COUNTIF('TC_어드민'!$T$2:$T$2000,$L6)</f>
        <v/>
      </c>
      <c r="I6" s="31">
        <f>COUNTIFS('TC_결과지'!$T$2:$T$2000,$L6,'TC_결과지'!$K$2:$K$2000,"&lt;&gt;")+COUNTIFS('TC_API'!$T$2:$T$2000,$L6,'TC_API'!$K$2:$K$2000,"&lt;&gt;")+COUNTIFS('TC_어드민'!$T$2:$T$2000,$L6,'TC_어드민'!$K$2:$K$2000,"&lt;&gt;")</f>
        <v/>
      </c>
      <c r="J6" s="31">
        <f>H6-I6</f>
        <v/>
      </c>
      <c r="K6" s="31" t="inlineStr"/>
      <c r="L6" s="31" t="inlineStr">
        <is>
          <t>작업자2</t>
        </is>
      </c>
    </row>
    <row r="7">
      <c r="A7" s="32" t="inlineStr">
        <is>
          <t>SC-3 단독·통과기준 미사용</t>
        </is>
      </c>
      <c r="B7" s="32" t="inlineStr">
        <is>
          <t>BP 단독</t>
        </is>
      </c>
      <c r="C7" s="32" t="inlineStr">
        <is>
          <t>사용 안 함(배수 미체크)</t>
        </is>
      </c>
      <c r="D7" s="31" t="inlineStr">
        <is>
          <t>OFF</t>
        </is>
      </c>
      <c r="E7" s="31" t="inlineStr">
        <is>
          <t>A 홍길동</t>
        </is>
      </c>
      <c r="F7" s="32" t="inlineStr">
        <is>
          <t>단독 구성(W1) · 전형통과 미표기(S5) · 비교군 10명 미만 상위% 미출력(E8)</t>
        </is>
      </c>
      <c r="G7" s="31" t="inlineStr">
        <is>
          <t>김재현</t>
        </is>
      </c>
      <c r="H7" s="31">
        <f>COUNTIF('TC_결과지'!$T$2:$T$2000,$L7)+COUNTIF('TC_API'!$T$2:$T$2000,$L7)+COUNTIF('TC_어드민'!$T$2:$T$2000,$L7)</f>
        <v/>
      </c>
      <c r="I7" s="31">
        <f>COUNTIFS('TC_결과지'!$T$2:$T$2000,$L7,'TC_결과지'!$K$2:$K$2000,"&lt;&gt;")+COUNTIFS('TC_API'!$T$2:$T$2000,$L7,'TC_API'!$K$2:$K$2000,"&lt;&gt;")+COUNTIFS('TC_어드민'!$T$2:$T$2000,$L7,'TC_어드민'!$K$2:$K$2000,"&lt;&gt;")</f>
        <v/>
      </c>
      <c r="J7" s="31">
        <f>H7-I7</f>
        <v/>
      </c>
      <c r="K7" s="31" t="inlineStr"/>
      <c r="L7" s="31" t="inlineStr">
        <is>
          <t>작업자3</t>
        </is>
      </c>
    </row>
    <row r="8">
      <c r="A8" s="32" t="inlineStr">
        <is>
          <t>SC-4 복수·통합본문</t>
        </is>
      </c>
      <c r="B8" s="32" t="inlineStr">
        <is>
          <t>BP+표절+블라인드</t>
        </is>
      </c>
      <c r="C8" s="32" t="inlineStr">
        <is>
          <t>점수기준</t>
        </is>
      </c>
      <c r="D8" s="31" t="inlineStr">
        <is>
          <t>ON</t>
        </is>
      </c>
      <c r="E8" s="31" t="inlineStr">
        <is>
          <t>A 홍길동</t>
        </is>
      </c>
      <c r="F8" s="32" t="inlineStr">
        <is>
          <t>복수 종합결과 구성(W3·Q3~Q7) · 종합결과 칩(E7) · 통합본문 ON+개별본문 제거(X1·X2)</t>
        </is>
      </c>
      <c r="G8" s="31" t="inlineStr">
        <is>
          <t>기효선2</t>
        </is>
      </c>
      <c r="H8" s="31">
        <f>COUNTIF('TC_결과지'!$T$2:$T$2000,$L8)+COUNTIF('TC_API'!$T$2:$T$2000,$L8)+COUNTIF('TC_어드민'!$T$2:$T$2000,$L8)</f>
        <v/>
      </c>
      <c r="I8" s="31">
        <f>COUNTIFS('TC_결과지'!$T$2:$T$2000,$L8,'TC_결과지'!$K$2:$K$2000,"&lt;&gt;")+COUNTIFS('TC_API'!$T$2:$T$2000,$L8,'TC_API'!$K$2:$K$2000,"&lt;&gt;")+COUNTIFS('TC_어드민'!$T$2:$T$2000,$L8,'TC_어드민'!$K$2:$K$2000,"&lt;&gt;")</f>
        <v/>
      </c>
      <c r="J8" s="31">
        <f>H8-I8</f>
        <v/>
      </c>
      <c r="K8" s="31" t="inlineStr"/>
      <c r="L8" s="31" t="inlineStr">
        <is>
          <t>작업자4</t>
        </is>
      </c>
    </row>
    <row r="9">
      <c r="A9" s="32" t="inlineStr">
        <is>
          <t>SC-5 전체·통합본문</t>
        </is>
      </c>
      <c r="B9" s="32" t="inlineStr">
        <is>
          <t>전체 8종</t>
        </is>
      </c>
      <c r="C9" s="32" t="inlineStr">
        <is>
          <t>배수기준</t>
        </is>
      </c>
      <c r="D9" s="31" t="inlineStr">
        <is>
          <t>ON</t>
        </is>
      </c>
      <c r="E9" s="31" t="inlineStr">
        <is>
          <t>A 홍길동</t>
        </is>
      </c>
      <c r="F9" s="32" t="inlineStr">
        <is>
          <t>전체 8종 종합결과 1p 이내(W9) · 통합본문 다중 하이라이트(X5)</t>
        </is>
      </c>
      <c r="G9" s="31" t="inlineStr">
        <is>
          <t>최고운</t>
        </is>
      </c>
      <c r="H9" s="31">
        <f>COUNTIF('TC_결과지'!$T$2:$T$2000,$L9)+COUNTIF('TC_API'!$T$2:$T$2000,$L9)+COUNTIF('TC_어드민'!$T$2:$T$2000,$L9)</f>
        <v/>
      </c>
      <c r="I9" s="31">
        <f>COUNTIFS('TC_결과지'!$T$2:$T$2000,$L9,'TC_결과지'!$K$2:$K$2000,"&lt;&gt;")+COUNTIFS('TC_API'!$T$2:$T$2000,$L9,'TC_API'!$K$2:$K$2000,"&lt;&gt;")+COUNTIFS('TC_어드민'!$T$2:$T$2000,$L9,'TC_어드민'!$K$2:$K$2000,"&lt;&gt;")</f>
        <v/>
      </c>
      <c r="J9" s="31">
        <f>H9-I9</f>
        <v/>
      </c>
      <c r="K9" s="31" t="inlineStr"/>
      <c r="L9" s="31" t="inlineStr">
        <is>
          <t>작업자5</t>
        </is>
      </c>
    </row>
    <row r="10">
      <c r="A10" s="32" t="inlineStr">
        <is>
          <t>SC-6 전형통과 미사용</t>
        </is>
      </c>
      <c r="B10" s="32" t="inlineStr">
        <is>
          <t>BP+GPK</t>
        </is>
      </c>
      <c r="C10" s="32" t="inlineStr">
        <is>
          <t>사용 안 함</t>
        </is>
      </c>
      <c r="D10" s="31" t="inlineStr">
        <is>
          <t>OFF</t>
        </is>
      </c>
      <c r="E10" s="31" t="inlineStr">
        <is>
          <t>A 홍길동</t>
        </is>
      </c>
      <c r="F10" s="32" t="inlineStr">
        <is>
          <t>전형통과 미표기(S5) · GPK-BP 연동·과금(W4·T)</t>
        </is>
      </c>
      <c r="G10" s="31" t="inlineStr">
        <is>
          <t>전예원</t>
        </is>
      </c>
      <c r="H10" s="31">
        <f>COUNTIF('TC_결과지'!$T$2:$T$2000,$L10)+COUNTIF('TC_API'!$T$2:$T$2000,$L10)+COUNTIF('TC_어드민'!$T$2:$T$2000,$L10)</f>
        <v/>
      </c>
      <c r="I10" s="31">
        <f>COUNTIFS('TC_결과지'!$T$2:$T$2000,$L10,'TC_결과지'!$K$2:$K$2000,"&lt;&gt;")+COUNTIFS('TC_API'!$T$2:$T$2000,$L10,'TC_API'!$K$2:$K$2000,"&lt;&gt;")+COUNTIFS('TC_어드민'!$T$2:$T$2000,$L10,'TC_어드민'!$K$2:$K$2000,"&lt;&gt;")</f>
        <v/>
      </c>
      <c r="J10" s="31">
        <f>H10-I10</f>
        <v/>
      </c>
      <c r="K10" s="31" t="inlineStr"/>
      <c r="L10" s="31" t="inlineStr">
        <is>
          <t>작업자6</t>
        </is>
      </c>
    </row>
    <row r="11">
      <c r="A11" s="32" t="inlineStr">
        <is>
          <t>SC-7 비-BP·통합본문</t>
        </is>
      </c>
      <c r="B11" s="32" t="inlineStr">
        <is>
          <t>결함+표절</t>
        </is>
      </c>
      <c r="C11" s="32" t="inlineStr">
        <is>
          <t>해당 없음</t>
        </is>
      </c>
      <c r="D11" s="31" t="inlineStr">
        <is>
          <t>ON</t>
        </is>
      </c>
      <c r="E11" s="31" t="inlineStr">
        <is>
          <t>A 홍길동</t>
        </is>
      </c>
      <c r="F11" s="32" t="inlineStr">
        <is>
          <t>BP 없는 복수(W5) · 통합본문 ON(X1)</t>
        </is>
      </c>
      <c r="G11" s="31" t="inlineStr">
        <is>
          <t>윤경은</t>
        </is>
      </c>
      <c r="H11" s="31">
        <f>COUNTIF('TC_결과지'!$T$2:$T$2000,$L11)+COUNTIF('TC_API'!$T$2:$T$2000,$L11)+COUNTIF('TC_어드민'!$T$2:$T$2000,$L11)</f>
        <v/>
      </c>
      <c r="I11" s="31">
        <f>COUNTIFS('TC_결과지'!$T$2:$T$2000,$L11,'TC_결과지'!$K$2:$K$2000,"&lt;&gt;")+COUNTIFS('TC_API'!$T$2:$T$2000,$L11,'TC_API'!$K$2:$K$2000,"&lt;&gt;")+COUNTIFS('TC_어드민'!$T$2:$T$2000,$L11,'TC_어드민'!$K$2:$K$2000,"&lt;&gt;")</f>
        <v/>
      </c>
      <c r="J11" s="31">
        <f>H11-I11</f>
        <v/>
      </c>
      <c r="K11" s="31" t="inlineStr"/>
      <c r="L11" s="31" t="inlineStr">
        <is>
          <t>작업자7</t>
        </is>
      </c>
    </row>
    <row r="12">
      <c r="G12" s="23" t="inlineStr">
        <is>
          <t>합계</t>
        </is>
      </c>
      <c r="H12" s="23">
        <f>SUM(H5:H11)</f>
        <v/>
      </c>
      <c r="I12" s="23">
        <f>SUM(I5:I11)</f>
        <v/>
      </c>
      <c r="J12" s="23">
        <f>SUM(J5:J11)</f>
        <v/>
      </c>
    </row>
    <row r="14">
      <c r="A14" s="16" t="inlineStr">
        <is>
          <t>※ 검수자: 본인 시트에서 [담당]을 본인 이름으로 필터 → 내 TC만(공통 일부 + 내 시나리오). [구분]으로 공통/시나리오 구분.</t>
        </is>
      </c>
    </row>
    <row r="15">
      <c r="A15" s="16" t="inlineStr">
        <is>
          <t>※ 분배 합계 = 245(전 TC 배정). 완료 = QC결과 입력된 행. 담당자가 바뀌면 이 시트 [담당](G)열 이름만 수정 → TC 3종 [담당] 자동 반영(분배/완료는 작업자N 키로 집계되어 영향 없음).</t>
        </is>
      </c>
    </row>
  </sheetData>
  <conditionalFormatting sqref="K5:K11">
    <cfRule type="cellIs" priority="1" operator="equal" dxfId="0">
      <formula>"완료"</formula>
    </cfRule>
  </conditionalFormatting>
  <dataValidations count="1">
    <dataValidation sqref="K5:K11" showDropDown="0" showInputMessage="0" showErrorMessage="0" allowBlank="1" type="list">
      <formula1>"미착수,진행중,완료"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7" customWidth="1" min="5" max="5"/>
    <col width="30" customWidth="1" min="6" max="6"/>
    <col width="22" customWidth="1" min="7" max="7"/>
    <col width="30" customWidth="1" min="8" max="8"/>
    <col width="18" customWidth="1" min="9" max="9"/>
    <col width="40" customWidth="1" min="10" max="10"/>
    <col width="9" customWidth="1" min="11" max="11"/>
    <col width="11" customWidth="1" min="12" max="12"/>
    <col width="10" customWidth="1" min="13" max="13"/>
    <col width="28" customWidth="1" min="14" max="14"/>
    <col width="9" customWidth="1" min="15" max="15"/>
    <col width="13" customWidth="1" min="16" max="16"/>
    <col width="12" customWidth="1" min="17" max="17"/>
    <col width="16" customWidth="1" min="18" max="18"/>
    <col width="10" customWidth="1" min="19" max="19"/>
    <col width="9" customWidth="1" min="20" max="20"/>
  </cols>
  <sheetData>
    <row r="1" ht="30" customHeight="1">
      <c r="A1" s="33" t="inlineStr">
        <is>
          <t>담당</t>
        </is>
      </c>
      <c r="B1" s="33" t="inlineStr">
        <is>
          <t>TC ID</t>
        </is>
      </c>
      <c r="C1" s="33" t="inlineStr">
        <is>
          <t>대분류</t>
        </is>
      </c>
      <c r="D1" s="33" t="inlineStr">
        <is>
          <t>중분류</t>
        </is>
      </c>
      <c r="E1" s="33" t="inlineStr">
        <is>
          <t>우선
순위</t>
        </is>
      </c>
      <c r="F1" s="33" t="inlineStr">
        <is>
          <t>테스트 시나리오(케이스명)</t>
        </is>
      </c>
      <c r="G1" s="33" t="inlineStr">
        <is>
          <t>사전조건</t>
        </is>
      </c>
      <c r="H1" s="33" t="inlineStr">
        <is>
          <t>테스트 절차</t>
        </is>
      </c>
      <c r="I1" s="33" t="inlineStr">
        <is>
          <t>입력/조건</t>
        </is>
      </c>
      <c r="J1" s="33" t="inlineStr">
        <is>
          <t>기대결과</t>
        </is>
      </c>
      <c r="K1" s="34" t="inlineStr">
        <is>
          <t>QC결과</t>
        </is>
      </c>
      <c r="L1" s="34" t="inlineStr">
        <is>
          <t>실행일</t>
        </is>
      </c>
      <c r="M1" s="34" t="inlineStr">
        <is>
          <t>QC담당자</t>
        </is>
      </c>
      <c r="N1" s="35" t="inlineStr">
        <is>
          <t>결함 내용</t>
        </is>
      </c>
      <c r="O1" s="35" t="inlineStr">
        <is>
          <t>심각도</t>
        </is>
      </c>
      <c r="P1" s="35" t="inlineStr">
        <is>
          <t>개발 수정상태</t>
        </is>
      </c>
      <c r="Q1" s="35" t="inlineStr">
        <is>
          <t>재확인(QC)</t>
        </is>
      </c>
      <c r="R1" s="36" t="inlineStr">
        <is>
          <t>비고</t>
        </is>
      </c>
      <c r="S1" s="36" t="inlineStr">
        <is>
          <t>구분</t>
        </is>
      </c>
      <c r="T1" s="36" t="inlineStr">
        <is>
          <t>키(작업자)</t>
        </is>
      </c>
    </row>
    <row r="2">
      <c r="A2" s="37">
        <f>IFERROR(INDEX('시나리오'!$G$5:$G$11,MATCH($T2,'시나리오'!$L$5:$L$11,0)),$T2)</f>
        <v/>
      </c>
      <c r="B2" s="37" t="inlineStr">
        <is>
          <t>RPT-001</t>
        </is>
      </c>
      <c r="C2" s="38" t="inlineStr">
        <is>
          <t>결과지(출력물)</t>
        </is>
      </c>
      <c r="D2" s="38" t="inlineStr">
        <is>
          <t>A. 빌드 무결성</t>
        </is>
      </c>
      <c r="E2" s="37" t="inlineStr">
        <is>
          <t>P1</t>
        </is>
      </c>
      <c r="F2" s="38" t="inlineStr">
        <is>
          <t>A1 미치환 토큰 0건</t>
        </is>
      </c>
      <c r="G2" s="38" t="inlineStr">
        <is>
          <t>샘플 자소서가 접수→분석→결과지까지 완료(매니저 화면에 분석값 확인 가능)</t>
        </is>
      </c>
      <c r="H2" s="38" t="inlineStr">
        <is>
          <t>HTML 텍스트·구조를 regex/DOM 카운트로 검사</t>
        </is>
      </c>
      <c r="I2" s="38" t="inlineStr">
        <is>
          <t>-</t>
        </is>
      </c>
      <c r="J2" s="38" t="inlineStr">
        <is>
          <t>HTML 본문에 {{...}} 패턴(미치환 토큰)이 1건도 남아있지 않다. regex \{\{[A-Z_]+\}\} → 0건</t>
        </is>
      </c>
      <c r="K2" s="37" t="inlineStr"/>
      <c r="L2" s="38" t="inlineStr"/>
      <c r="M2" s="38" t="inlineStr"/>
      <c r="N2" s="38" t="inlineStr"/>
      <c r="O2" s="37" t="inlineStr"/>
      <c r="P2" s="37" t="inlineStr"/>
      <c r="Q2" s="37" t="inlineStr"/>
      <c r="R2" s="38" t="inlineStr">
        <is>
          <t>[정적검사]</t>
        </is>
      </c>
      <c r="S2" s="37" t="inlineStr">
        <is>
          <t>공통</t>
        </is>
      </c>
      <c r="T2" s="37" t="inlineStr">
        <is>
          <t>작업자1</t>
        </is>
      </c>
    </row>
    <row r="3">
      <c r="A3" s="39">
        <f>IFERROR(INDEX('시나리오'!$G$5:$G$11,MATCH($T3,'시나리오'!$L$5:$L$11,0)),$T3)</f>
        <v/>
      </c>
      <c r="B3" s="39" t="inlineStr">
        <is>
          <t>RPT-002</t>
        </is>
      </c>
      <c r="C3" s="40" t="inlineStr">
        <is>
          <t>결과지(출력물)</t>
        </is>
      </c>
      <c r="D3" s="40" t="inlineStr">
        <is>
          <t>A. 빌드 무결성</t>
        </is>
      </c>
      <c r="E3" s="39" t="inlineStr">
        <is>
          <t>P2</t>
        </is>
      </c>
      <c r="F3" s="40" t="inlineStr">
        <is>
          <t>A2 다운로드 PDF 파일명 규칙</t>
        </is>
      </c>
      <c r="G3" s="40" t="inlineStr">
        <is>
          <t>샘플 자소서가 접수→분석→결과지까지 완료(매니저 화면에 분석값 확인 가능)</t>
        </is>
      </c>
      <c r="H3" s="40" t="inlineStr">
        <is>
          <t>HTML 텍스트·구조를 regex/DOM 카운트로 검사</t>
        </is>
      </c>
      <c r="I3" s="40" t="inlineStr">
        <is>
          <t>-</t>
        </is>
      </c>
      <c r="J3" s="40" t="inlineStr">
        <is>
          <t>프리즘워크에서 다운로드한 PDF 파일명이 정해진 규칙([제품]-[지원자명]-[날짜])과 일치</t>
        </is>
      </c>
      <c r="K3" s="39" t="inlineStr"/>
      <c r="L3" s="40" t="inlineStr"/>
      <c r="M3" s="40" t="inlineStr"/>
      <c r="N3" s="40" t="inlineStr"/>
      <c r="O3" s="39" t="inlineStr"/>
      <c r="P3" s="39" t="inlineStr"/>
      <c r="Q3" s="39" t="inlineStr"/>
      <c r="R3" s="40" t="inlineStr">
        <is>
          <t>[정적검사]</t>
        </is>
      </c>
      <c r="S3" s="39" t="inlineStr">
        <is>
          <t>공통</t>
        </is>
      </c>
      <c r="T3" s="39" t="inlineStr">
        <is>
          <t>작업자2</t>
        </is>
      </c>
    </row>
    <row r="4">
      <c r="A4" s="37">
        <f>IFERROR(INDEX('시나리오'!$G$5:$G$11,MATCH($T4,'시나리오'!$L$5:$L$11,0)),$T4)</f>
        <v/>
      </c>
      <c r="B4" s="37" t="inlineStr">
        <is>
          <t>RPT-003</t>
        </is>
      </c>
      <c r="C4" s="38" t="inlineStr">
        <is>
          <t>결과지(출력물)</t>
        </is>
      </c>
      <c r="D4" s="38" t="inlineStr">
        <is>
          <t>B. 메타·식별</t>
        </is>
      </c>
      <c r="E4" s="37" t="inlineStr">
        <is>
          <t>P1</t>
        </is>
      </c>
      <c r="F4" s="38" t="inlineStr">
        <is>
          <t>B1 채용공고명 일치</t>
        </is>
      </c>
      <c r="G4" s="38" t="inlineStr">
        <is>
          <t>샘플 자소서가 접수→분석→결과지까지 완료(매니저 화면에 분석값 확인 가능)</t>
        </is>
      </c>
      <c r="H4" s="38" t="inlineStr">
        <is>
          <t>매니저 화면 분석값과 결과지 노출값을 글자·자릿수 단위로 대조</t>
        </is>
      </c>
      <c r="I4" s="38" t="inlineStr">
        <is>
          <t>3단계 분석값(매니저 결과확인 화면)</t>
        </is>
      </c>
      <c r="J4" s="38" t="inlineStr">
        <is>
          <t>meta.channel_title이 doc-header(.doc-header-title, 전 페이지)와 블루헤더(.bp-header-title) 두 위치에서 동일</t>
        </is>
      </c>
      <c r="K4" s="37" t="inlineStr"/>
      <c r="L4" s="38" t="inlineStr"/>
      <c r="M4" s="38" t="inlineStr"/>
      <c r="N4" s="38" t="inlineStr"/>
      <c r="O4" s="37" t="inlineStr"/>
      <c r="P4" s="37" t="inlineStr"/>
      <c r="Q4" s="37" t="inlineStr"/>
      <c r="R4" s="38" t="inlineStr">
        <is>
          <t>[데이터대조]</t>
        </is>
      </c>
      <c r="S4" s="37" t="inlineStr">
        <is>
          <t>공통</t>
        </is>
      </c>
      <c r="T4" s="37" t="inlineStr">
        <is>
          <t>작업자3</t>
        </is>
      </c>
    </row>
    <row r="5">
      <c r="A5" s="39">
        <f>IFERROR(INDEX('시나리오'!$G$5:$G$11,MATCH($T5,'시나리오'!$L$5:$L$11,0)),$T5)</f>
        <v/>
      </c>
      <c r="B5" s="39" t="inlineStr">
        <is>
          <t>RPT-004</t>
        </is>
      </c>
      <c r="C5" s="40" t="inlineStr">
        <is>
          <t>결과지(출력물)</t>
        </is>
      </c>
      <c r="D5" s="40" t="inlineStr">
        <is>
          <t>B. 메타·식별</t>
        </is>
      </c>
      <c r="E5" s="39" t="inlineStr">
        <is>
          <t>P1</t>
        </is>
      </c>
      <c r="F5" s="40" t="inlineStr">
        <is>
          <t>B2 지원자명 일치</t>
        </is>
      </c>
      <c r="G5" s="40" t="inlineStr">
        <is>
          <t>샘플 자소서가 접수→분석→결과지까지 완료(매니저 화면에 분석값 확인 가능)</t>
        </is>
      </c>
      <c r="H5" s="40" t="inlineStr">
        <is>
          <t>매니저 화면 분석값과 결과지 노출값을 글자·자릿수 단위로 대조</t>
        </is>
      </c>
      <c r="I5" s="40" t="inlineStr">
        <is>
          <t>3단계 분석값(매니저 결과확인 화면)</t>
        </is>
      </c>
      <c r="J5" s="40" t="inlineStr">
        <is>
          <t>meta.candidate가 doc-header(.doc-header-name)·카드(.bp-prof-name)·&lt;title&gt; 3위치에서 동일</t>
        </is>
      </c>
      <c r="K5" s="39" t="inlineStr"/>
      <c r="L5" s="40" t="inlineStr"/>
      <c r="M5" s="40" t="inlineStr"/>
      <c r="N5" s="40" t="inlineStr"/>
      <c r="O5" s="39" t="inlineStr"/>
      <c r="P5" s="39" t="inlineStr"/>
      <c r="Q5" s="39" t="inlineStr"/>
      <c r="R5" s="40" t="inlineStr">
        <is>
          <t>[데이터대조]</t>
        </is>
      </c>
      <c r="S5" s="39" t="inlineStr">
        <is>
          <t>공통</t>
        </is>
      </c>
      <c r="T5" s="39" t="inlineStr">
        <is>
          <t>작업자4</t>
        </is>
      </c>
    </row>
    <row r="6">
      <c r="A6" s="37">
        <f>IFERROR(INDEX('시나리오'!$G$5:$G$11,MATCH($T6,'시나리오'!$L$5:$L$11,0)),$T6)</f>
        <v/>
      </c>
      <c r="B6" s="37" t="inlineStr">
        <is>
          <t>RPT-005</t>
        </is>
      </c>
      <c r="C6" s="38" t="inlineStr">
        <is>
          <t>결과지(출력물)</t>
        </is>
      </c>
      <c r="D6" s="38" t="inlineStr">
        <is>
          <t>B. 메타·식별</t>
        </is>
      </c>
      <c r="E6" s="37" t="inlineStr">
        <is>
          <t>P1</t>
        </is>
      </c>
      <c r="F6" s="38" t="inlineStr">
        <is>
          <t>B3 응시번호 일치</t>
        </is>
      </c>
      <c r="G6" s="38" t="inlineStr">
        <is>
          <t>샘플 자소서가 접수→분석→결과지까지 완료(매니저 화면에 분석값 확인 가능)</t>
        </is>
      </c>
      <c r="H6" s="38" t="inlineStr">
        <is>
          <t>매니저 화면 분석값과 결과지 노출값을 글자·자릿수 단위로 대조</t>
        </is>
      </c>
      <c r="I6" s="38" t="inlineStr">
        <is>
          <t>3단계 분석값(매니저 결과확인 화면)</t>
        </is>
      </c>
      <c r="J6" s="38" t="inlineStr">
        <is>
          <t>meta.candidate_number가 doc-header(.doc-header-num)·카드(.bp-prof-num) 일치</t>
        </is>
      </c>
      <c r="K6" s="37" t="inlineStr"/>
      <c r="L6" s="38" t="inlineStr"/>
      <c r="M6" s="38" t="inlineStr"/>
      <c r="N6" s="38" t="inlineStr"/>
      <c r="O6" s="37" t="inlineStr"/>
      <c r="P6" s="37" t="inlineStr"/>
      <c r="Q6" s="37" t="inlineStr"/>
      <c r="R6" s="38" t="inlineStr">
        <is>
          <t>[데이터대조]</t>
        </is>
      </c>
      <c r="S6" s="37" t="inlineStr">
        <is>
          <t>공통</t>
        </is>
      </c>
      <c r="T6" s="37" t="inlineStr">
        <is>
          <t>작업자5</t>
        </is>
      </c>
    </row>
    <row r="7">
      <c r="A7" s="39">
        <f>IFERROR(INDEX('시나리오'!$G$5:$G$11,MATCH($T7,'시나리오'!$L$5:$L$11,0)),$T7)</f>
        <v/>
      </c>
      <c r="B7" s="39" t="inlineStr">
        <is>
          <t>RPT-006</t>
        </is>
      </c>
      <c r="C7" s="40" t="inlineStr">
        <is>
          <t>결과지(출력물)</t>
        </is>
      </c>
      <c r="D7" s="40" t="inlineStr">
        <is>
          <t>B. 메타·식별</t>
        </is>
      </c>
      <c r="E7" s="39" t="inlineStr">
        <is>
          <t>P2</t>
        </is>
      </c>
      <c r="F7" s="40" t="inlineStr">
        <is>
          <t>B4 직무명</t>
        </is>
      </c>
      <c r="G7" s="40" t="inlineStr">
        <is>
          <t>샘플 자소서가 접수→분석→결과지까지 완료(매니저 화면에 분석값 확인 가능)</t>
        </is>
      </c>
      <c r="H7" s="40" t="inlineStr">
        <is>
          <t>매니저 화면 분석값과 결과지 노출값을 글자·자릿수 단위로 대조</t>
        </is>
      </c>
      <c r="I7" s="40" t="inlineStr">
        <is>
          <t>3단계 분석값(매니저 결과확인 화면)</t>
        </is>
      </c>
      <c r="J7" s="40" t="inlineStr">
        <is>
          <t>meta.position이 카드 .bp-prof-job와 일치</t>
        </is>
      </c>
      <c r="K7" s="39" t="inlineStr"/>
      <c r="L7" s="40" t="inlineStr"/>
      <c r="M7" s="40" t="inlineStr"/>
      <c r="N7" s="40" t="inlineStr"/>
      <c r="O7" s="39" t="inlineStr"/>
      <c r="P7" s="39" t="inlineStr"/>
      <c r="Q7" s="39" t="inlineStr"/>
      <c r="R7" s="40" t="inlineStr">
        <is>
          <t>[데이터대조]</t>
        </is>
      </c>
      <c r="S7" s="39" t="inlineStr">
        <is>
          <t>공통</t>
        </is>
      </c>
      <c r="T7" s="39" t="inlineStr">
        <is>
          <t>작업자6</t>
        </is>
      </c>
    </row>
    <row r="8">
      <c r="A8" s="37">
        <f>IFERROR(INDEX('시나리오'!$G$5:$G$11,MATCH($T8,'시나리오'!$L$5:$L$11,0)),$T8)</f>
        <v/>
      </c>
      <c r="B8" s="37" t="inlineStr">
        <is>
          <t>RPT-007</t>
        </is>
      </c>
      <c r="C8" s="38" t="inlineStr">
        <is>
          <t>결과지(출력물)</t>
        </is>
      </c>
      <c r="D8" s="38" t="inlineStr">
        <is>
          <t>B. 메타·식별</t>
        </is>
      </c>
      <c r="E8" s="37" t="inlineStr">
        <is>
          <t>P2</t>
        </is>
      </c>
      <c r="F8" s="38" t="inlineStr">
        <is>
          <t>B5 평가일</t>
        </is>
      </c>
      <c r="G8" s="38" t="inlineStr">
        <is>
          <t>샘플 자소서가 접수→분석→결과지까지 완료(매니저 화면에 분석값 확인 가능)</t>
        </is>
      </c>
      <c r="H8" s="38" t="inlineStr">
        <is>
          <t>매니저 화면 분석값과 결과지 노출값을 글자·자릿수 단위로 대조</t>
        </is>
      </c>
      <c r="I8" s="38" t="inlineStr">
        <is>
          <t>3단계 분석값(매니저 결과확인 화면)</t>
        </is>
      </c>
      <c r="J8" s="38" t="inlineStr">
        <is>
          <t>meta.evaluation_date가 카드 .bp-date와 일치('평가일: ' 접두 포함)</t>
        </is>
      </c>
      <c r="K8" s="37" t="inlineStr"/>
      <c r="L8" s="38" t="inlineStr"/>
      <c r="M8" s="38" t="inlineStr"/>
      <c r="N8" s="38" t="inlineStr"/>
      <c r="O8" s="37" t="inlineStr"/>
      <c r="P8" s="37" t="inlineStr"/>
      <c r="Q8" s="37" t="inlineStr"/>
      <c r="R8" s="38" t="inlineStr">
        <is>
          <t>[데이터대조]</t>
        </is>
      </c>
      <c r="S8" s="37" t="inlineStr">
        <is>
          <t>공통</t>
        </is>
      </c>
      <c r="T8" s="37" t="inlineStr">
        <is>
          <t>작업자7</t>
        </is>
      </c>
    </row>
    <row r="9">
      <c r="A9" s="39">
        <f>IFERROR(INDEX('시나리오'!$G$5:$G$11,MATCH($T9,'시나리오'!$L$5:$L$11,0)),$T9)</f>
        <v/>
      </c>
      <c r="B9" s="39" t="inlineStr">
        <is>
          <t>RPT-008</t>
        </is>
      </c>
      <c r="C9" s="40" t="inlineStr">
        <is>
          <t>결과지(출력물)</t>
        </is>
      </c>
      <c r="D9" s="40" t="inlineStr">
        <is>
          <t>B. 메타·식별</t>
        </is>
      </c>
      <c r="E9" s="39" t="inlineStr">
        <is>
          <t>P1</t>
        </is>
      </c>
      <c r="F9" s="40" t="inlineStr">
        <is>
          <t>B6 doc-header 전 페이지 동일</t>
        </is>
      </c>
      <c r="G9" s="40" t="inlineStr">
        <is>
          <t>샘플 자소서가 접수→분석→결과지까지 완료(매니저 화면에 분석값 확인 가능)</t>
        </is>
      </c>
      <c r="H9" s="40" t="inlineStr">
        <is>
          <t>HTML 텍스트·구조를 regex/DOM 카운트로 검사</t>
        </is>
      </c>
      <c r="I9" s="40" t="inlineStr">
        <is>
          <t>-</t>
        </is>
      </c>
      <c r="J9" s="40" t="inlineStr">
        <is>
          <t>모든 페이지 doc-header의 B1~B3 값이 동일(한 페이지라도 다르면 실패)</t>
        </is>
      </c>
      <c r="K9" s="39" t="inlineStr"/>
      <c r="L9" s="40" t="inlineStr"/>
      <c r="M9" s="40" t="inlineStr"/>
      <c r="N9" s="40" t="inlineStr"/>
      <c r="O9" s="39" t="inlineStr"/>
      <c r="P9" s="39" t="inlineStr"/>
      <c r="Q9" s="39" t="inlineStr"/>
      <c r="R9" s="40" t="inlineStr">
        <is>
          <t>[정적검사]</t>
        </is>
      </c>
      <c r="S9" s="39" t="inlineStr">
        <is>
          <t>공통</t>
        </is>
      </c>
      <c r="T9" s="39" t="inlineStr">
        <is>
          <t>작업자1</t>
        </is>
      </c>
    </row>
    <row r="10">
      <c r="A10" s="37">
        <f>IFERROR(INDEX('시나리오'!$G$5:$G$11,MATCH($T10,'시나리오'!$L$5:$L$11,0)),$T10)</f>
        <v/>
      </c>
      <c r="B10" s="37" t="inlineStr">
        <is>
          <t>RPT-009</t>
        </is>
      </c>
      <c r="C10" s="38" t="inlineStr">
        <is>
          <t>결과지(출력물)</t>
        </is>
      </c>
      <c r="D10" s="38" t="inlineStr">
        <is>
          <t>C. 점수 정확성</t>
        </is>
      </c>
      <c r="E10" s="37" t="inlineStr">
        <is>
          <t>P1</t>
        </is>
      </c>
      <c r="F10" s="38" t="inlineStr">
        <is>
          <t>C1 종합점수 4곳 동일</t>
        </is>
      </c>
      <c r="G10" s="38" t="inlineStr">
        <is>
          <t>샘플 자소서가 접수→분석→결과지까지 완료(매니저 화면에 분석값 확인 가능)</t>
        </is>
      </c>
      <c r="H10" s="38" t="inlineStr">
        <is>
          <t>매니저 화면 분석값과 결과지 노출값을 글자·자릿수 단위로 대조</t>
        </is>
      </c>
      <c r="I10" s="38" t="inlineStr">
        <is>
          <t>3단계 분석값(매니저 결과확인 화면)</t>
        </is>
      </c>
      <c r="J10" s="38" t="inlineStr">
        <is>
          <t>scores.total이 카드 .bp-score-num·요약 .summary-pos-score·요약막대 .cbar-fill width(%)에서 동일</t>
        </is>
      </c>
      <c r="K10" s="37" t="inlineStr"/>
      <c r="L10" s="38" t="inlineStr"/>
      <c r="M10" s="38" t="inlineStr"/>
      <c r="N10" s="38" t="inlineStr"/>
      <c r="O10" s="37" t="inlineStr"/>
      <c r="P10" s="37" t="inlineStr"/>
      <c r="Q10" s="37" t="inlineStr"/>
      <c r="R10" s="38" t="inlineStr">
        <is>
          <t>[데이터대조]</t>
        </is>
      </c>
      <c r="S10" s="37" t="inlineStr">
        <is>
          <t>공통</t>
        </is>
      </c>
      <c r="T10" s="37" t="inlineStr">
        <is>
          <t>작업자2</t>
        </is>
      </c>
    </row>
    <row r="11">
      <c r="A11" s="39">
        <f>IFERROR(INDEX('시나리오'!$G$5:$G$11,MATCH($T11,'시나리오'!$L$5:$L$11,0)),$T11)</f>
        <v/>
      </c>
      <c r="B11" s="39" t="inlineStr">
        <is>
          <t>RPT-010</t>
        </is>
      </c>
      <c r="C11" s="40" t="inlineStr">
        <is>
          <t>결과지(출력물)</t>
        </is>
      </c>
      <c r="D11" s="40" t="inlineStr">
        <is>
          <t>C. 점수 정확성</t>
        </is>
      </c>
      <c r="E11" s="39" t="inlineStr">
        <is>
          <t>P1</t>
        </is>
      </c>
      <c r="F11" s="40" t="inlineStr">
        <is>
          <t>C2 직무적합도</t>
        </is>
      </c>
      <c r="G11" s="40" t="inlineStr">
        <is>
          <t>샘플 자소서가 접수→분석→결과지까지 완료(매니저 화면에 분석값 확인 가능)</t>
        </is>
      </c>
      <c r="H11" s="40" t="inlineStr">
        <is>
          <t>매니저 화면 분석값과 결과지 노출값을 글자·자릿수 단위로 대조</t>
        </is>
      </c>
      <c r="I11" s="40" t="inlineStr">
        <is>
          <t>3단계 분석값(매니저 결과확인 화면)</t>
        </is>
      </c>
      <c r="J11" s="40" t="inlineStr">
        <is>
          <t>scores.직무적합도가 P1 .jma .metric-score·P4+ dt-cat '직무적합도 …점'에서 일치</t>
        </is>
      </c>
      <c r="K11" s="39" t="inlineStr"/>
      <c r="L11" s="40" t="inlineStr"/>
      <c r="M11" s="40" t="inlineStr"/>
      <c r="N11" s="40" t="inlineStr"/>
      <c r="O11" s="39" t="inlineStr"/>
      <c r="P11" s="39" t="inlineStr"/>
      <c r="Q11" s="39" t="inlineStr"/>
      <c r="R11" s="40" t="inlineStr">
        <is>
          <t>[데이터대조]</t>
        </is>
      </c>
      <c r="S11" s="39" t="inlineStr">
        <is>
          <t>공통</t>
        </is>
      </c>
      <c r="T11" s="39" t="inlineStr">
        <is>
          <t>작업자3</t>
        </is>
      </c>
    </row>
    <row r="12">
      <c r="A12" s="37">
        <f>IFERROR(INDEX('시나리오'!$G$5:$G$11,MATCH($T12,'시나리오'!$L$5:$L$11,0)),$T12)</f>
        <v/>
      </c>
      <c r="B12" s="37" t="inlineStr">
        <is>
          <t>RPT-011</t>
        </is>
      </c>
      <c r="C12" s="38" t="inlineStr">
        <is>
          <t>결과지(출력물)</t>
        </is>
      </c>
      <c r="D12" s="38" t="inlineStr">
        <is>
          <t>C. 점수 정확성</t>
        </is>
      </c>
      <c r="E12" s="37" t="inlineStr">
        <is>
          <t>P1</t>
        </is>
      </c>
      <c r="F12" s="38" t="inlineStr">
        <is>
          <t>C3 조직적합도</t>
        </is>
      </c>
      <c r="G12" s="38" t="inlineStr">
        <is>
          <t>샘플 자소서가 접수→분석→결과지까지 완료(매니저 화면에 분석값 확인 가능)</t>
        </is>
      </c>
      <c r="H12" s="38" t="inlineStr">
        <is>
          <t>매니저 화면 분석값과 결과지 노출값을 글자·자릿수 단위로 대조</t>
        </is>
      </c>
      <c r="I12" s="38" t="inlineStr">
        <is>
          <t>3단계 분석값(매니저 결과확인 화면)</t>
        </is>
      </c>
      <c r="J12" s="38" t="inlineStr">
        <is>
          <t>scores.조직적합도가 P1 조직카드 .metric-score·P4+ dt-cat에서 일치</t>
        </is>
      </c>
      <c r="K12" s="37" t="inlineStr"/>
      <c r="L12" s="38" t="inlineStr"/>
      <c r="M12" s="38" t="inlineStr"/>
      <c r="N12" s="38" t="inlineStr"/>
      <c r="O12" s="37" t="inlineStr"/>
      <c r="P12" s="37" t="inlineStr"/>
      <c r="Q12" s="37" t="inlineStr"/>
      <c r="R12" s="38" t="inlineStr">
        <is>
          <t>[데이터대조]</t>
        </is>
      </c>
      <c r="S12" s="37" t="inlineStr">
        <is>
          <t>공통</t>
        </is>
      </c>
      <c r="T12" s="37" t="inlineStr">
        <is>
          <t>작업자4</t>
        </is>
      </c>
    </row>
    <row r="13">
      <c r="A13" s="39">
        <f>IFERROR(INDEX('시나리오'!$G$5:$G$11,MATCH($T13,'시나리오'!$L$5:$L$11,0)),$T13)</f>
        <v/>
      </c>
      <c r="B13" s="39" t="inlineStr">
        <is>
          <t>RPT-012</t>
        </is>
      </c>
      <c r="C13" s="40" t="inlineStr">
        <is>
          <t>결과지(출력물)</t>
        </is>
      </c>
      <c r="D13" s="40" t="inlineStr">
        <is>
          <t>C. 점수 정확성</t>
        </is>
      </c>
      <c r="E13" s="39" t="inlineStr">
        <is>
          <t>P1</t>
        </is>
      </c>
      <c r="F13" s="40" t="inlineStr">
        <is>
          <t>C4 지원동기</t>
        </is>
      </c>
      <c r="G13" s="40" t="inlineStr">
        <is>
          <t>샘플 자소서가 접수→분석→결과지까지 완료(매니저 화면에 분석값 확인 가능)</t>
        </is>
      </c>
      <c r="H13" s="40" t="inlineStr">
        <is>
          <t>매니저 화면 분석값과 결과지 노출값을 글자·자릿수 단위로 대조</t>
        </is>
      </c>
      <c r="I13" s="40" t="inlineStr">
        <is>
          <t>3단계 분석값(매니저 결과확인 화면)</t>
        </is>
      </c>
      <c r="J13" s="40" t="inlineStr">
        <is>
          <t>scores.지원동기가 P1 지원동기카드·P4+ dt-cat에서 일치</t>
        </is>
      </c>
      <c r="K13" s="39" t="inlineStr"/>
      <c r="L13" s="40" t="inlineStr"/>
      <c r="M13" s="40" t="inlineStr"/>
      <c r="N13" s="40" t="inlineStr"/>
      <c r="O13" s="39" t="inlineStr"/>
      <c r="P13" s="39" t="inlineStr"/>
      <c r="Q13" s="39" t="inlineStr"/>
      <c r="R13" s="40" t="inlineStr">
        <is>
          <t>[데이터대조]</t>
        </is>
      </c>
      <c r="S13" s="39" t="inlineStr">
        <is>
          <t>공통</t>
        </is>
      </c>
      <c r="T13" s="39" t="inlineStr">
        <is>
          <t>작업자5</t>
        </is>
      </c>
    </row>
    <row r="14">
      <c r="A14" s="37">
        <f>IFERROR(INDEX('시나리오'!$G$5:$G$11,MATCH($T14,'시나리오'!$L$5:$L$11,0)),$T14)</f>
        <v/>
      </c>
      <c r="B14" s="37" t="inlineStr">
        <is>
          <t>RPT-013</t>
        </is>
      </c>
      <c r="C14" s="38" t="inlineStr">
        <is>
          <t>결과지(출력물)</t>
        </is>
      </c>
      <c r="D14" s="38" t="inlineStr">
        <is>
          <t>C. 점수 정확성</t>
        </is>
      </c>
      <c r="E14" s="37" t="inlineStr">
        <is>
          <t>P1</t>
        </is>
      </c>
      <c r="F14" s="38" t="inlineStr">
        <is>
          <t>C5 응답완성도 3종</t>
        </is>
      </c>
      <c r="G14" s="38" t="inlineStr">
        <is>
          <t>샘플 자소서가 접수→분석→결과지까지 완료(매니저 화면에 분석값 확인 가능)</t>
        </is>
      </c>
      <c r="H14" s="38" t="inlineStr">
        <is>
          <t>매니저 화면 분석값과 결과지 노출값을 글자·자릿수 단위로 대조</t>
        </is>
      </c>
      <c r="I14" s="38" t="inlineStr">
        <is>
          <t>3단계 분석값(매니저 결과확인 화면)</t>
        </is>
      </c>
      <c r="J14" s="38" t="inlineStr">
        <is>
          <t>scores.답변적합도/구체성/본인소개가 P1 사이드박스 .side-score·P4+ dt-cat에서 일치</t>
        </is>
      </c>
      <c r="K14" s="37" t="inlineStr"/>
      <c r="L14" s="38" t="inlineStr"/>
      <c r="M14" s="38" t="inlineStr"/>
      <c r="N14" s="38" t="inlineStr"/>
      <c r="O14" s="37" t="inlineStr"/>
      <c r="P14" s="37" t="inlineStr"/>
      <c r="Q14" s="37" t="inlineStr"/>
      <c r="R14" s="38" t="inlineStr">
        <is>
          <t>[데이터대조]</t>
        </is>
      </c>
      <c r="S14" s="37" t="inlineStr">
        <is>
          <t>공통</t>
        </is>
      </c>
      <c r="T14" s="37" t="inlineStr">
        <is>
          <t>작업자6</t>
        </is>
      </c>
    </row>
    <row r="15">
      <c r="A15" s="39">
        <f>IFERROR(INDEX('시나리오'!$G$5:$G$11,MATCH($T15,'시나리오'!$L$5:$L$11,0)),$T15)</f>
        <v/>
      </c>
      <c r="B15" s="39" t="inlineStr">
        <is>
          <t>RPT-014</t>
        </is>
      </c>
      <c r="C15" s="40" t="inlineStr">
        <is>
          <t>결과지(출력물)</t>
        </is>
      </c>
      <c r="D15" s="40" t="inlineStr">
        <is>
          <t>C. 점수 정확성</t>
        </is>
      </c>
      <c r="E15" s="39" t="inlineStr">
        <is>
          <t>P1</t>
        </is>
      </c>
      <c r="F15" s="40" t="inlineStr">
        <is>
          <t>C6 소수 2자리 표기</t>
        </is>
      </c>
      <c r="G15" s="40" t="inlineStr">
        <is>
          <t>샘플 자소서가 접수→분석→결과지까지 완료(매니저 화면에 분석값 확인 가능)</t>
        </is>
      </c>
      <c r="H15" s="40" t="inlineStr">
        <is>
          <t>HTML 텍스트·구조를 regex/DOM 카운트로 검사</t>
        </is>
      </c>
      <c r="I15" s="40" t="inlineStr">
        <is>
          <t>-</t>
        </is>
      </c>
      <c r="J15" s="40" t="inlineStr">
        <is>
          <t>모든 점수가 \d+\.\d{2} 형식(정수여도 68.00). 1·3자리 노출 시 실패</t>
        </is>
      </c>
      <c r="K15" s="39" t="inlineStr"/>
      <c r="L15" s="40" t="inlineStr"/>
      <c r="M15" s="40" t="inlineStr"/>
      <c r="N15" s="40" t="inlineStr"/>
      <c r="O15" s="39" t="inlineStr"/>
      <c r="P15" s="39" t="inlineStr"/>
      <c r="Q15" s="39" t="inlineStr"/>
      <c r="R15" s="40" t="inlineStr">
        <is>
          <t>[정적검사]</t>
        </is>
      </c>
      <c r="S15" s="39" t="inlineStr">
        <is>
          <t>공통</t>
        </is>
      </c>
      <c r="T15" s="39" t="inlineStr">
        <is>
          <t>작업자7</t>
        </is>
      </c>
    </row>
    <row r="16">
      <c r="A16" s="37">
        <f>IFERROR(INDEX('시나리오'!$G$5:$G$11,MATCH($T16,'시나리오'!$L$5:$L$11,0)),$T16)</f>
        <v/>
      </c>
      <c r="B16" s="37" t="inlineStr">
        <is>
          <t>RPT-015</t>
        </is>
      </c>
      <c r="C16" s="38" t="inlineStr">
        <is>
          <t>결과지(출력물)</t>
        </is>
      </c>
      <c r="D16" s="38" t="inlineStr">
        <is>
          <t>C. 점수 정확성</t>
        </is>
      </c>
      <c r="E16" s="37" t="inlineStr">
        <is>
          <t>P1</t>
        </is>
      </c>
      <c r="F16" s="38" t="inlineStr">
        <is>
          <t>C7 직무적합도 비교</t>
        </is>
      </c>
      <c r="G16" s="38" t="inlineStr">
        <is>
          <t>샘플 자소서가 접수→분석→결과지까지 완료(매니저 화면에 분석값 확인 가능)</t>
        </is>
      </c>
      <c r="H16" s="38" t="inlineStr">
        <is>
          <t>기대결과의 규칙대로 기대값을 재계산한 뒤 결과지와 대조</t>
        </is>
      </c>
      <c r="I16" s="38" t="inlineStr">
        <is>
          <t>3단계 분석값(매니저 결과확인 화면)</t>
        </is>
      </c>
      <c r="J16" s="38" t="inlineStr">
        <is>
          <t>(scores.직무적합도 − benchmarks.avg.직무적합도) 재계산값과 부호·수치·클래스 일치</t>
        </is>
      </c>
      <c r="K16" s="37" t="inlineStr"/>
      <c r="L16" s="38" t="inlineStr"/>
      <c r="M16" s="38" t="inlineStr"/>
      <c r="N16" s="38" t="inlineStr"/>
      <c r="O16" s="37" t="inlineStr"/>
      <c r="P16" s="37" t="inlineStr"/>
      <c r="Q16" s="37" t="inlineStr"/>
      <c r="R16" s="38" t="inlineStr">
        <is>
          <t>[규칙계산]</t>
        </is>
      </c>
      <c r="S16" s="37" t="inlineStr">
        <is>
          <t>공통</t>
        </is>
      </c>
      <c r="T16" s="37" t="inlineStr">
        <is>
          <t>작업자1</t>
        </is>
      </c>
    </row>
    <row r="17">
      <c r="A17" s="39">
        <f>IFERROR(INDEX('시나리오'!$G$5:$G$11,MATCH($T17,'시나리오'!$L$5:$L$11,0)),$T17)</f>
        <v/>
      </c>
      <c r="B17" s="39" t="inlineStr">
        <is>
          <t>RPT-016</t>
        </is>
      </c>
      <c r="C17" s="40" t="inlineStr">
        <is>
          <t>결과지(출력물)</t>
        </is>
      </c>
      <c r="D17" s="40" t="inlineStr">
        <is>
          <t>C. 점수 정확성</t>
        </is>
      </c>
      <c r="E17" s="39" t="inlineStr">
        <is>
          <t>P1</t>
        </is>
      </c>
      <c r="F17" s="40" t="inlineStr">
        <is>
          <t>C8 조직적합도 비교</t>
        </is>
      </c>
      <c r="G17" s="40" t="inlineStr">
        <is>
          <t>샘플 자소서가 접수→분석→결과지까지 완료(매니저 화면에 분석값 확인 가능)</t>
        </is>
      </c>
      <c r="H17" s="40" t="inlineStr">
        <is>
          <t>기대결과의 규칙대로 기대값을 재계산한 뒤 결과지와 대조</t>
        </is>
      </c>
      <c r="I17" s="40" t="inlineStr">
        <is>
          <t>3단계 분석값(매니저 결과확인 화면)</t>
        </is>
      </c>
      <c r="J17" s="40" t="inlineStr">
        <is>
          <t>(scores.조직적합도 − benchmarks.avg.조직적합도) 일치</t>
        </is>
      </c>
      <c r="K17" s="39" t="inlineStr"/>
      <c r="L17" s="40" t="inlineStr"/>
      <c r="M17" s="40" t="inlineStr"/>
      <c r="N17" s="40" t="inlineStr"/>
      <c r="O17" s="39" t="inlineStr"/>
      <c r="P17" s="39" t="inlineStr"/>
      <c r="Q17" s="39" t="inlineStr"/>
      <c r="R17" s="40" t="inlineStr">
        <is>
          <t>[규칙계산]</t>
        </is>
      </c>
      <c r="S17" s="39" t="inlineStr">
        <is>
          <t>공통</t>
        </is>
      </c>
      <c r="T17" s="39" t="inlineStr">
        <is>
          <t>작업자2</t>
        </is>
      </c>
    </row>
    <row r="18">
      <c r="A18" s="37">
        <f>IFERROR(INDEX('시나리오'!$G$5:$G$11,MATCH($T18,'시나리오'!$L$5:$L$11,0)),$T18)</f>
        <v/>
      </c>
      <c r="B18" s="37" t="inlineStr">
        <is>
          <t>RPT-017</t>
        </is>
      </c>
      <c r="C18" s="38" t="inlineStr">
        <is>
          <t>결과지(출력물)</t>
        </is>
      </c>
      <c r="D18" s="38" t="inlineStr">
        <is>
          <t>C. 점수 정확성</t>
        </is>
      </c>
      <c r="E18" s="37" t="inlineStr">
        <is>
          <t>P1</t>
        </is>
      </c>
      <c r="F18" s="38" t="inlineStr">
        <is>
          <t>C9 지원동기 비교</t>
        </is>
      </c>
      <c r="G18" s="38" t="inlineStr">
        <is>
          <t>샘플 자소서가 접수→분석→결과지까지 완료(매니저 화면에 분석값 확인 가능)</t>
        </is>
      </c>
      <c r="H18" s="38" t="inlineStr">
        <is>
          <t>기대결과의 규칙대로 기대값을 재계산한 뒤 결과지와 대조</t>
        </is>
      </c>
      <c r="I18" s="38" t="inlineStr">
        <is>
          <t>3단계 분석값(매니저 결과확인 화면)</t>
        </is>
      </c>
      <c r="J18" s="38" t="inlineStr">
        <is>
          <t>(scores.지원동기 − benchmarks.avg.지원동기) 일치</t>
        </is>
      </c>
      <c r="K18" s="37" t="inlineStr"/>
      <c r="L18" s="38" t="inlineStr"/>
      <c r="M18" s="38" t="inlineStr"/>
      <c r="N18" s="38" t="inlineStr"/>
      <c r="O18" s="37" t="inlineStr"/>
      <c r="P18" s="37" t="inlineStr"/>
      <c r="Q18" s="37" t="inlineStr"/>
      <c r="R18" s="38" t="inlineStr">
        <is>
          <t>[규칙계산]</t>
        </is>
      </c>
      <c r="S18" s="37" t="inlineStr">
        <is>
          <t>공통</t>
        </is>
      </c>
      <c r="T18" s="37" t="inlineStr">
        <is>
          <t>작업자3</t>
        </is>
      </c>
    </row>
    <row r="19">
      <c r="A19" s="39">
        <f>IFERROR(INDEX('시나리오'!$G$5:$G$11,MATCH($T19,'시나리오'!$L$5:$L$11,0)),$T19)</f>
        <v/>
      </c>
      <c r="B19" s="39" t="inlineStr">
        <is>
          <t>RPT-018</t>
        </is>
      </c>
      <c r="C19" s="40" t="inlineStr">
        <is>
          <t>결과지(출력물)</t>
        </is>
      </c>
      <c r="D19" s="40" t="inlineStr">
        <is>
          <t>C. 점수 정확성</t>
        </is>
      </c>
      <c r="E19" s="39" t="inlineStr">
        <is>
          <t>P1</t>
        </is>
      </c>
      <c r="F19" s="40" t="inlineStr">
        <is>
          <t>C10 부호·색상 분기</t>
        </is>
      </c>
      <c r="G19" s="40" t="inlineStr">
        <is>
          <t>샘플 자소서가 접수→분석→결과지까지 완료(매니저 화면에 분석값 확인 가능)</t>
        </is>
      </c>
      <c r="H19" s="40" t="inlineStr">
        <is>
          <t>기대결과의 규칙대로 기대값을 재계산한 뒤 결과지와 대조</t>
        </is>
      </c>
      <c r="I19" s="40" t="inlineStr">
        <is>
          <t>3단계 분석값(매니저 결과확인 화면)</t>
        </is>
      </c>
      <c r="J19" s="40" t="inlineStr">
        <is>
          <t>차이≥0 → '+'/.up(파랑), 음수 → '−'(U+2212)/.down(주황). 0은 +/.up. 하이픈(-) 아닌 마이너스(−) 확인</t>
        </is>
      </c>
      <c r="K19" s="39" t="inlineStr"/>
      <c r="L19" s="40" t="inlineStr"/>
      <c r="M19" s="40" t="inlineStr"/>
      <c r="N19" s="40" t="inlineStr"/>
      <c r="O19" s="39" t="inlineStr"/>
      <c r="P19" s="39" t="inlineStr"/>
      <c r="Q19" s="39" t="inlineStr"/>
      <c r="R19" s="40" t="inlineStr">
        <is>
          <t>[규칙계산]</t>
        </is>
      </c>
      <c r="S19" s="39" t="inlineStr">
        <is>
          <t>공통</t>
        </is>
      </c>
      <c r="T19" s="39" t="inlineStr">
        <is>
          <t>작업자4</t>
        </is>
      </c>
    </row>
    <row r="20">
      <c r="A20" s="37">
        <f>IFERROR(INDEX('시나리오'!$G$5:$G$11,MATCH($T20,'시나리오'!$L$5:$L$11,0)),$T20)</f>
        <v/>
      </c>
      <c r="B20" s="37" t="inlineStr">
        <is>
          <t>RPT-019</t>
        </is>
      </c>
      <c r="C20" s="38" t="inlineStr">
        <is>
          <t>결과지(출력물)</t>
        </is>
      </c>
      <c r="D20" s="38" t="inlineStr">
        <is>
          <t>C. 점수 정확성</t>
        </is>
      </c>
      <c r="E20" s="37" t="inlineStr">
        <is>
          <t>P1</t>
        </is>
      </c>
      <c r="F20" s="38" t="inlineStr">
        <is>
          <t>C11 요약 종합막대</t>
        </is>
      </c>
      <c r="G20" s="38" t="inlineStr">
        <is>
          <t>샘플 자소서가 접수→분석→결과지까지 완료(매니저 화면에 분석값 확인 가능)</t>
        </is>
      </c>
      <c r="H20" s="38" t="inlineStr">
        <is>
          <t>기대결과의 규칙대로 기대값을 재계산한 뒤 결과지와 대조</t>
        </is>
      </c>
      <c r="I20" s="38" t="inlineStr">
        <is>
          <t>3단계 분석값(매니저 결과확인 화면)</t>
        </is>
      </c>
      <c r="J20" s="38" t="inlineStr">
        <is>
          <t>fill width=total, .dot-avg left=avg.total, .dot-top left=top10.total. 합불 모드 시 .dot-cut left=cut.score</t>
        </is>
      </c>
      <c r="K20" s="37" t="inlineStr"/>
      <c r="L20" s="38" t="inlineStr"/>
      <c r="M20" s="38" t="inlineStr"/>
      <c r="N20" s="38" t="inlineStr"/>
      <c r="O20" s="37" t="inlineStr"/>
      <c r="P20" s="37" t="inlineStr"/>
      <c r="Q20" s="37" t="inlineStr"/>
      <c r="R20" s="38" t="inlineStr">
        <is>
          <t>[규칙계산]</t>
        </is>
      </c>
      <c r="S20" s="37" t="inlineStr">
        <is>
          <t>공통</t>
        </is>
      </c>
      <c r="T20" s="37" t="inlineStr">
        <is>
          <t>작업자5</t>
        </is>
      </c>
    </row>
    <row r="21">
      <c r="A21" s="39">
        <f>IFERROR(INDEX('시나리오'!$G$5:$G$11,MATCH($T21,'시나리오'!$L$5:$L$11,0)),$T21)</f>
        <v/>
      </c>
      <c r="B21" s="39" t="inlineStr">
        <is>
          <t>RPT-020</t>
        </is>
      </c>
      <c r="C21" s="40" t="inlineStr">
        <is>
          <t>결과지(출력물)</t>
        </is>
      </c>
      <c r="D21" s="40" t="inlineStr">
        <is>
          <t>C. 점수 정확성</t>
        </is>
      </c>
      <c r="E21" s="39" t="inlineStr">
        <is>
          <t>P1</t>
        </is>
      </c>
      <c r="F21" s="40" t="inlineStr">
        <is>
          <t>C12 미니막대</t>
        </is>
      </c>
      <c r="G21" s="40" t="inlineStr">
        <is>
          <t>샘플 자소서가 접수→분석→결과지까지 완료(매니저 화면에 분석값 확인 가능)</t>
        </is>
      </c>
      <c r="H21" s="40" t="inlineStr">
        <is>
          <t>기대결과의 규칙대로 기대값을 재계산한 뒤 결과지와 대조</t>
        </is>
      </c>
      <c r="I21" s="40" t="inlineStr">
        <is>
          <t>3단계 분석값(매니저 결과확인 화면)</t>
        </is>
      </c>
      <c r="J21" s="40" t="inlineStr">
        <is>
          <t>fill width=메트릭 점수, .dot-avg=avg.해당, .dot-top=top10.해당</t>
        </is>
      </c>
      <c r="K21" s="39" t="inlineStr"/>
      <c r="L21" s="40" t="inlineStr"/>
      <c r="M21" s="40" t="inlineStr"/>
      <c r="N21" s="40" t="inlineStr"/>
      <c r="O21" s="39" t="inlineStr"/>
      <c r="P21" s="39" t="inlineStr"/>
      <c r="Q21" s="39" t="inlineStr"/>
      <c r="R21" s="40" t="inlineStr">
        <is>
          <t>[규칙계산]</t>
        </is>
      </c>
      <c r="S21" s="39" t="inlineStr">
        <is>
          <t>공통</t>
        </is>
      </c>
      <c r="T21" s="39" t="inlineStr">
        <is>
          <t>작업자6</t>
        </is>
      </c>
    </row>
    <row r="22">
      <c r="A22" s="37">
        <f>IFERROR(INDEX('시나리오'!$G$5:$G$11,MATCH($T22,'시나리오'!$L$5:$L$11,0)),$T22)</f>
        <v/>
      </c>
      <c r="B22" s="37" t="inlineStr">
        <is>
          <t>RPT-021</t>
        </is>
      </c>
      <c r="C22" s="38" t="inlineStr">
        <is>
          <t>결과지(출력물)</t>
        </is>
      </c>
      <c r="D22" s="38" t="inlineStr">
        <is>
          <t>C. 점수 정확성</t>
        </is>
      </c>
      <c r="E22" s="37" t="inlineStr">
        <is>
          <t>P2</t>
        </is>
      </c>
      <c r="F22" s="38" t="inlineStr">
        <is>
          <t>C13 막대 범례 수치</t>
        </is>
      </c>
      <c r="G22" s="38" t="inlineStr">
        <is>
          <t>샘플 자소서가 접수→분석→결과지까지 완료(매니저 화면에 분석값 확인 가능)</t>
        </is>
      </c>
      <c r="H22" s="38" t="inlineStr">
        <is>
          <t>매니저 화면 분석값과 결과지 노출값을 글자·자릿수 단위로 대조</t>
        </is>
      </c>
      <c r="I22" s="38" t="inlineStr">
        <is>
          <t>3단계 분석값(매니저 결과확인 화면)</t>
        </is>
      </c>
      <c r="J22" s="38" t="inlineStr">
        <is>
          <t>'평균(점수)'=avg.*, '상위 10%(점수)'=top10.* (2자리). 합불 모드 시 컷 범례=cut.label+cut.score</t>
        </is>
      </c>
      <c r="K22" s="37" t="inlineStr"/>
      <c r="L22" s="38" t="inlineStr"/>
      <c r="M22" s="38" t="inlineStr"/>
      <c r="N22" s="38" t="inlineStr"/>
      <c r="O22" s="37" t="inlineStr"/>
      <c r="P22" s="37" t="inlineStr"/>
      <c r="Q22" s="37" t="inlineStr"/>
      <c r="R22" s="38" t="inlineStr">
        <is>
          <t>[데이터대조]</t>
        </is>
      </c>
      <c r="S22" s="37" t="inlineStr">
        <is>
          <t>공통</t>
        </is>
      </c>
      <c r="T22" s="37" t="inlineStr">
        <is>
          <t>작업자7</t>
        </is>
      </c>
    </row>
    <row r="23">
      <c r="A23" s="39">
        <f>IFERROR(INDEX('시나리오'!$G$5:$G$11,MATCH($T23,'시나리오'!$L$5:$L$11,0)),$T23)</f>
        <v/>
      </c>
      <c r="B23" s="39" t="inlineStr">
        <is>
          <t>RPT-022</t>
        </is>
      </c>
      <c r="C23" s="40" t="inlineStr">
        <is>
          <t>결과지(출력물)</t>
        </is>
      </c>
      <c r="D23" s="40" t="inlineStr">
        <is>
          <t>C. 점수 정확성</t>
        </is>
      </c>
      <c r="E23" s="39" t="inlineStr">
        <is>
          <t>P2</t>
        </is>
      </c>
      <c r="F23" s="40" t="inlineStr">
        <is>
          <t>C14 위치점 범위</t>
        </is>
      </c>
      <c r="G23" s="40" t="inlineStr">
        <is>
          <t>샘플 자소서가 접수→분석→결과지까지 완료(매니저 화면에 분석값 확인 가능)</t>
        </is>
      </c>
      <c r="H23" s="40" t="inlineStr">
        <is>
          <t>HTML 텍스트·구조를 regex/DOM 카운트로 검사</t>
        </is>
      </c>
      <c r="I23" s="40" t="inlineStr">
        <is>
          <t>-</t>
        </is>
      </c>
      <c r="J23" s="40" t="inlineStr">
        <is>
          <t>위치 점 left가 0~100% 범위를 벗어나지 않음(음수/100 초과 없음)</t>
        </is>
      </c>
      <c r="K23" s="39" t="inlineStr"/>
      <c r="L23" s="40" t="inlineStr"/>
      <c r="M23" s="40" t="inlineStr"/>
      <c r="N23" s="40" t="inlineStr"/>
      <c r="O23" s="39" t="inlineStr"/>
      <c r="P23" s="39" t="inlineStr"/>
      <c r="Q23" s="39" t="inlineStr"/>
      <c r="R23" s="40" t="inlineStr">
        <is>
          <t>[정적검사]</t>
        </is>
      </c>
      <c r="S23" s="39" t="inlineStr">
        <is>
          <t>공통</t>
        </is>
      </c>
      <c r="T23" s="39" t="inlineStr">
        <is>
          <t>작업자1</t>
        </is>
      </c>
    </row>
    <row r="24">
      <c r="A24" s="37">
        <f>IFERROR(INDEX('시나리오'!$G$5:$G$11,MATCH($T24,'시나리오'!$L$5:$L$11,0)),$T24)</f>
        <v/>
      </c>
      <c r="B24" s="37" t="inlineStr">
        <is>
          <t>RPT-023</t>
        </is>
      </c>
      <c r="C24" s="38" t="inlineStr">
        <is>
          <t>결과지(출력물)</t>
        </is>
      </c>
      <c r="D24" s="38" t="inlineStr">
        <is>
          <t>C. 점수 정확성</t>
        </is>
      </c>
      <c r="E24" s="37" t="inlineStr">
        <is>
          <t>P2</t>
        </is>
      </c>
      <c r="F24" s="38" t="inlineStr">
        <is>
          <t>C15 메트릭 평균 미만 부정 하이라이팅</t>
        </is>
      </c>
      <c r="G24" s="38" t="inlineStr">
        <is>
          <t>샘플 자소서가 접수→분석→결과지까지 완료(매니저 화면에 분석값 확인 가능)</t>
        </is>
      </c>
      <c r="H24" s="38" t="inlineStr">
        <is>
          <t>기대결과의 규칙대로 기대값을 재계산한 뒤 결과지와 대조</t>
        </is>
      </c>
      <c r="I24" s="38" t="inlineStr">
        <is>
          <t>3단계 분석값(매니저 결과확인 화면)</t>
        </is>
      </c>
      <c r="J24" s="38" t="inlineStr">
        <is>
          <t>직무/조직/지원동기 역량별 점수가 동일 직무 평균 미만이면 부정적 의미 하이라이팅 적용(평균 이상은 미적용)(SDS BP콘텐츠상세 3-2)</t>
        </is>
      </c>
      <c r="K24" s="37" t="inlineStr"/>
      <c r="L24" s="38" t="inlineStr"/>
      <c r="M24" s="38" t="inlineStr"/>
      <c r="N24" s="38" t="inlineStr"/>
      <c r="O24" s="37" t="inlineStr"/>
      <c r="P24" s="37" t="inlineStr"/>
      <c r="Q24" s="37" t="inlineStr"/>
      <c r="R24" s="38" t="inlineStr">
        <is>
          <t>[규칙계산]</t>
        </is>
      </c>
      <c r="S24" s="37" t="inlineStr">
        <is>
          <t>공통</t>
        </is>
      </c>
      <c r="T24" s="37" t="inlineStr">
        <is>
          <t>작업자2</t>
        </is>
      </c>
    </row>
    <row r="25">
      <c r="A25" s="39">
        <f>IFERROR(INDEX('시나리오'!$G$5:$G$11,MATCH($T25,'시나리오'!$L$5:$L$11,0)),$T25)</f>
        <v/>
      </c>
      <c r="B25" s="39" t="inlineStr">
        <is>
          <t>RPT-024</t>
        </is>
      </c>
      <c r="C25" s="40" t="inlineStr">
        <is>
          <t>결과지(출력물)</t>
        </is>
      </c>
      <c r="D25" s="40" t="inlineStr">
        <is>
          <t>C. 점수 정확성</t>
        </is>
      </c>
      <c r="E25" s="39" t="inlineStr">
        <is>
          <t>P2</t>
        </is>
      </c>
      <c r="F25" s="40" t="inlineStr">
        <is>
          <t>C16 메트릭 상위10% 긍정 하이라이팅</t>
        </is>
      </c>
      <c r="G25" s="40" t="inlineStr">
        <is>
          <t>샘플 자소서가 접수→분석→결과지까지 완료(매니저 화면에 분석값 확인 가능)</t>
        </is>
      </c>
      <c r="H25" s="40" t="inlineStr">
        <is>
          <t>기대결과의 규칙대로 기대값을 재계산한 뒤 결과지와 대조</t>
        </is>
      </c>
      <c r="I25" s="40" t="inlineStr">
        <is>
          <t>3단계 분석값(매니저 결과확인 화면)</t>
        </is>
      </c>
      <c r="J25" s="40" t="inlineStr">
        <is>
          <t>역량별 점수가 상위 10% 기준 이상이면 긍정적 의미 하이라이팅 적용(3개 메트릭 공통)</t>
        </is>
      </c>
      <c r="K25" s="39" t="inlineStr"/>
      <c r="L25" s="40" t="inlineStr"/>
      <c r="M25" s="40" t="inlineStr"/>
      <c r="N25" s="40" t="inlineStr"/>
      <c r="O25" s="39" t="inlineStr"/>
      <c r="P25" s="39" t="inlineStr"/>
      <c r="Q25" s="39" t="inlineStr"/>
      <c r="R25" s="40" t="inlineStr">
        <is>
          <t>[규칙계산]</t>
        </is>
      </c>
      <c r="S25" s="39" t="inlineStr">
        <is>
          <t>공통</t>
        </is>
      </c>
      <c r="T25" s="39" t="inlineStr">
        <is>
          <t>작업자3</t>
        </is>
      </c>
    </row>
    <row r="26">
      <c r="A26" s="37">
        <f>IFERROR(INDEX('시나리오'!$G$5:$G$11,MATCH($T26,'시나리오'!$L$5:$L$11,0)),$T26)</f>
        <v/>
      </c>
      <c r="B26" s="37" t="inlineStr">
        <is>
          <t>RPT-025</t>
        </is>
      </c>
      <c r="C26" s="38" t="inlineStr">
        <is>
          <t>결과지(출력물)</t>
        </is>
      </c>
      <c r="D26" s="38" t="inlineStr">
        <is>
          <t>D. 등급 정확성</t>
        </is>
      </c>
      <c r="E26" s="37" t="inlineStr">
        <is>
          <t>P1</t>
        </is>
      </c>
      <c r="F26" s="38" t="inlineStr">
        <is>
          <t>D1 직무적합도 factor 등급</t>
        </is>
      </c>
      <c r="G26" s="38" t="inlineStr">
        <is>
          <t>샘플 자소서가 접수→분석→결과지까지 완료(매니저 화면에 분석값 확인 가능)</t>
        </is>
      </c>
      <c r="H26" s="38" t="inlineStr">
        <is>
          <t>매니저 화면 분석값과 결과지 노출값을 글자·자릿수 단위로 대조</t>
        </is>
      </c>
      <c r="I26" s="38" t="inlineStr">
        <is>
          <t>3단계 분석값(매니저 결과확인 화면)</t>
        </is>
      </c>
      <c r="J26" s="38" t="inlineStr">
        <is>
          <t>evaluation.직무적합도 중 level=factor 3개(직무경험·직무지식·직무동기)가 .gc-left .grow에 순서·등급 일치</t>
        </is>
      </c>
      <c r="K26" s="37" t="inlineStr"/>
      <c r="L26" s="38" t="inlineStr"/>
      <c r="M26" s="38" t="inlineStr"/>
      <c r="N26" s="38" t="inlineStr"/>
      <c r="O26" s="37" t="inlineStr"/>
      <c r="P26" s="37" t="inlineStr"/>
      <c r="Q26" s="37" t="inlineStr"/>
      <c r="R26" s="38" t="inlineStr">
        <is>
          <t>[데이터대조]</t>
        </is>
      </c>
      <c r="S26" s="37" t="inlineStr">
        <is>
          <t>공통</t>
        </is>
      </c>
      <c r="T26" s="37" t="inlineStr">
        <is>
          <t>작업자4</t>
        </is>
      </c>
    </row>
    <row r="27">
      <c r="A27" s="39">
        <f>IFERROR(INDEX('시나리오'!$G$5:$G$11,MATCH($T27,'시나리오'!$L$5:$L$11,0)),$T27)</f>
        <v/>
      </c>
      <c r="B27" s="39" t="inlineStr">
        <is>
          <t>RPT-026</t>
        </is>
      </c>
      <c r="C27" s="40" t="inlineStr">
        <is>
          <t>결과지(출력물)</t>
        </is>
      </c>
      <c r="D27" s="40" t="inlineStr">
        <is>
          <t>D. 등급 정확성</t>
        </is>
      </c>
      <c r="E27" s="39" t="inlineStr">
        <is>
          <t>P1</t>
        </is>
      </c>
      <c r="F27" s="40" t="inlineStr">
        <is>
          <t>D2 직무역량 소제목 등급</t>
        </is>
      </c>
      <c r="G27" s="40" t="inlineStr">
        <is>
          <t>샘플 자소서가 접수→분석→결과지까지 완료(매니저 화면에 분석값 확인 가능)</t>
        </is>
      </c>
      <c r="H27" s="40" t="inlineStr">
        <is>
          <t>매니저 화면 분석값과 결과지 노출값을 글자·자릿수 단위로 대조</t>
        </is>
      </c>
      <c r="I27" s="40" t="inlineStr">
        <is>
          <t>3단계 분석값(매니저 결과확인 화면)</t>
        </is>
      </c>
      <c r="J27" s="40" t="inlineStr">
        <is>
          <t>level=subcat-header 항목이 .gc-right-head에 표시</t>
        </is>
      </c>
      <c r="K27" s="39" t="inlineStr"/>
      <c r="L27" s="40" t="inlineStr"/>
      <c r="M27" s="40" t="inlineStr"/>
      <c r="N27" s="40" t="inlineStr"/>
      <c r="O27" s="39" t="inlineStr"/>
      <c r="P27" s="39" t="inlineStr"/>
      <c r="Q27" s="39" t="inlineStr"/>
      <c r="R27" s="40" t="inlineStr">
        <is>
          <t>[데이터대조]</t>
        </is>
      </c>
      <c r="S27" s="39" t="inlineStr">
        <is>
          <t>공통</t>
        </is>
      </c>
      <c r="T27" s="39" t="inlineStr">
        <is>
          <t>작업자5</t>
        </is>
      </c>
    </row>
    <row r="28">
      <c r="A28" s="37">
        <f>IFERROR(INDEX('시나리오'!$G$5:$G$11,MATCH($T28,'시나리오'!$L$5:$L$11,0)),$T28)</f>
        <v/>
      </c>
      <c r="B28" s="37" t="inlineStr">
        <is>
          <t>RPT-027</t>
        </is>
      </c>
      <c r="C28" s="38" t="inlineStr">
        <is>
          <t>결과지(출력물)</t>
        </is>
      </c>
      <c r="D28" s="38" t="inlineStr">
        <is>
          <t>D. 등급 정확성</t>
        </is>
      </c>
      <c r="E28" s="37" t="inlineStr">
        <is>
          <t>P1</t>
        </is>
      </c>
      <c r="F28" s="38" t="inlineStr">
        <is>
          <t>D3 직무역량 하위 8항목 등급</t>
        </is>
      </c>
      <c r="G28" s="38" t="inlineStr">
        <is>
          <t>샘플 자소서가 접수→분석→결과지까지 완료(매니저 화면에 분석값 확인 가능)</t>
        </is>
      </c>
      <c r="H28" s="38" t="inlineStr">
        <is>
          <t>매니저 화면 분석값과 결과지 노출값을 글자·자릿수 단위로 대조</t>
        </is>
      </c>
      <c r="I28" s="38" t="inlineStr">
        <is>
          <t>3단계 분석값(매니저 결과확인 화면)</t>
        </is>
      </c>
      <c r="J28" s="38" t="inlineStr">
        <is>
          <t>level=sub 8항목(전략적사고~책임감)이 .srow에 순서·등급 일치(홀수 시 빈칸 행 1개 자동)</t>
        </is>
      </c>
      <c r="K28" s="37" t="inlineStr"/>
      <c r="L28" s="38" t="inlineStr"/>
      <c r="M28" s="38" t="inlineStr"/>
      <c r="N28" s="38" t="inlineStr"/>
      <c r="O28" s="37" t="inlineStr"/>
      <c r="P28" s="37" t="inlineStr"/>
      <c r="Q28" s="37" t="inlineStr"/>
      <c r="R28" s="38" t="inlineStr">
        <is>
          <t>[데이터대조]</t>
        </is>
      </c>
      <c r="S28" s="37" t="inlineStr">
        <is>
          <t>공통</t>
        </is>
      </c>
      <c r="T28" s="37" t="inlineStr">
        <is>
          <t>작업자6</t>
        </is>
      </c>
    </row>
    <row r="29">
      <c r="A29" s="39">
        <f>IFERROR(INDEX('시나리오'!$G$5:$G$11,MATCH($T29,'시나리오'!$L$5:$L$11,0)),$T29)</f>
        <v/>
      </c>
      <c r="B29" s="39" t="inlineStr">
        <is>
          <t>RPT-028</t>
        </is>
      </c>
      <c r="C29" s="40" t="inlineStr">
        <is>
          <t>결과지(출력물)</t>
        </is>
      </c>
      <c r="D29" s="40" t="inlineStr">
        <is>
          <t>D. 등급 정확성</t>
        </is>
      </c>
      <c r="E29" s="39" t="inlineStr">
        <is>
          <t>P1</t>
        </is>
      </c>
      <c r="F29" s="40" t="inlineStr">
        <is>
          <t>D4 조직적합도 항목 등급</t>
        </is>
      </c>
      <c r="G29" s="40" t="inlineStr">
        <is>
          <t>샘플 자소서가 접수→분석→결과지까지 완료(매니저 화면에 분석값 확인 가능)</t>
        </is>
      </c>
      <c r="H29" s="40" t="inlineStr">
        <is>
          <t>매니저 화면 분석값과 결과지 노출값을 글자·자릿수 단위로 대조</t>
        </is>
      </c>
      <c r="I29" s="40" t="inlineStr">
        <is>
          <t>3단계 분석값(매니저 결과확인 화면)</t>
        </is>
      </c>
      <c r="J29" s="40" t="inlineStr">
        <is>
          <t>evaluation.조직적합도.항목 전체가 .wrow에 일치</t>
        </is>
      </c>
      <c r="K29" s="39" t="inlineStr"/>
      <c r="L29" s="40" t="inlineStr"/>
      <c r="M29" s="40" t="inlineStr"/>
      <c r="N29" s="40" t="inlineStr"/>
      <c r="O29" s="39" t="inlineStr"/>
      <c r="P29" s="39" t="inlineStr"/>
      <c r="Q29" s="39" t="inlineStr"/>
      <c r="R29" s="40" t="inlineStr">
        <is>
          <t>[데이터대조]</t>
        </is>
      </c>
      <c r="S29" s="39" t="inlineStr">
        <is>
          <t>공통</t>
        </is>
      </c>
      <c r="T29" s="39" t="inlineStr">
        <is>
          <t>작업자7</t>
        </is>
      </c>
    </row>
    <row r="30">
      <c r="A30" s="37">
        <f>IFERROR(INDEX('시나리오'!$G$5:$G$11,MATCH($T30,'시나리오'!$L$5:$L$11,0)),$T30)</f>
        <v/>
      </c>
      <c r="B30" s="37" t="inlineStr">
        <is>
          <t>RPT-029</t>
        </is>
      </c>
      <c r="C30" s="38" t="inlineStr">
        <is>
          <t>결과지(출력물)</t>
        </is>
      </c>
      <c r="D30" s="38" t="inlineStr">
        <is>
          <t>D. 등급 정확성</t>
        </is>
      </c>
      <c r="E30" s="37" t="inlineStr">
        <is>
          <t>P1</t>
        </is>
      </c>
      <c r="F30" s="38" t="inlineStr">
        <is>
          <t>D5 지원동기 항목 등급</t>
        </is>
      </c>
      <c r="G30" s="38" t="inlineStr">
        <is>
          <t>샘플 자소서가 접수→분석→결과지까지 완료(매니저 화면에 분석값 확인 가능)</t>
        </is>
      </c>
      <c r="H30" s="38" t="inlineStr">
        <is>
          <t>매니저 화면 분석값과 결과지 노출값을 글자·자릿수 단위로 대조</t>
        </is>
      </c>
      <c r="I30" s="38" t="inlineStr">
        <is>
          <t>3단계 분석값(매니저 결과확인 화면)</t>
        </is>
      </c>
      <c r="J30" s="38" t="inlineStr">
        <is>
          <t>evaluation.지원동기.항목 전체가 지원동기 카드 .grow에 일치</t>
        </is>
      </c>
      <c r="K30" s="37" t="inlineStr"/>
      <c r="L30" s="38" t="inlineStr"/>
      <c r="M30" s="38" t="inlineStr"/>
      <c r="N30" s="38" t="inlineStr"/>
      <c r="O30" s="37" t="inlineStr"/>
      <c r="P30" s="37" t="inlineStr"/>
      <c r="Q30" s="37" t="inlineStr"/>
      <c r="R30" s="38" t="inlineStr">
        <is>
          <t>[데이터대조]</t>
        </is>
      </c>
      <c r="S30" s="37" t="inlineStr">
        <is>
          <t>공통</t>
        </is>
      </c>
      <c r="T30" s="37" t="inlineStr">
        <is>
          <t>작업자1</t>
        </is>
      </c>
    </row>
    <row r="31">
      <c r="A31" s="39">
        <f>IFERROR(INDEX('시나리오'!$G$5:$G$11,MATCH($T31,'시나리오'!$L$5:$L$11,0)),$T31)</f>
        <v/>
      </c>
      <c r="B31" s="39" t="inlineStr">
        <is>
          <t>RPT-030</t>
        </is>
      </c>
      <c r="C31" s="40" t="inlineStr">
        <is>
          <t>결과지(출력물)</t>
        </is>
      </c>
      <c r="D31" s="40" t="inlineStr">
        <is>
          <t>D. 등급 정확성</t>
        </is>
      </c>
      <c r="E31" s="39" t="inlineStr">
        <is>
          <t>P1</t>
        </is>
      </c>
      <c r="F31" s="40" t="inlineStr">
        <is>
          <t>D6 칩 글자·색 동시 일치</t>
        </is>
      </c>
      <c r="G31" s="40" t="inlineStr">
        <is>
          <t>샘플 자소서가 접수→분석→결과지까지 완료(매니저 화면에 분석값 확인 가능)</t>
        </is>
      </c>
      <c r="H31" s="40" t="inlineStr">
        <is>
          <t>기대결과의 규칙대로 기대값을 재계산한 뒤 결과지와 대조</t>
        </is>
      </c>
      <c r="I31" s="40" t="inlineStr">
        <is>
          <t>3단계 분석값(매니저 결과확인 화면)</t>
        </is>
      </c>
      <c r="J31" s="40" t="inlineStr">
        <is>
          <t>상→상(파랑)/중→중(회색)/하→하/없음→'-'(g-none). 글자와 색 클래스가 동시에 일치</t>
        </is>
      </c>
      <c r="K31" s="39" t="inlineStr"/>
      <c r="L31" s="40" t="inlineStr"/>
      <c r="M31" s="40" t="inlineStr"/>
      <c r="N31" s="40" t="inlineStr"/>
      <c r="O31" s="39" t="inlineStr"/>
      <c r="P31" s="39" t="inlineStr"/>
      <c r="Q31" s="39" t="inlineStr"/>
      <c r="R31" s="40" t="inlineStr">
        <is>
          <t>[규칙계산]</t>
        </is>
      </c>
      <c r="S31" s="39" t="inlineStr">
        <is>
          <t>공통</t>
        </is>
      </c>
      <c r="T31" s="39" t="inlineStr">
        <is>
          <t>작업자2</t>
        </is>
      </c>
    </row>
    <row r="32">
      <c r="A32" s="37">
        <f>IFERROR(INDEX('시나리오'!$G$5:$G$11,MATCH($T32,'시나리오'!$L$5:$L$11,0)),$T32)</f>
        <v/>
      </c>
      <c r="B32" s="37" t="inlineStr">
        <is>
          <t>RPT-031</t>
        </is>
      </c>
      <c r="C32" s="38" t="inlineStr">
        <is>
          <t>결과지(출력물)</t>
        </is>
      </c>
      <c r="D32" s="38" t="inlineStr">
        <is>
          <t>D. 등급 정확성</t>
        </is>
      </c>
      <c r="E32" s="37" t="inlineStr">
        <is>
          <t>P1</t>
        </is>
      </c>
      <c r="F32" s="38" t="inlineStr">
        <is>
          <t>D7 등급 항목 개수</t>
        </is>
      </c>
      <c r="G32" s="38" t="inlineStr">
        <is>
          <t>샘플 자소서가 접수→분석→결과지까지 완료(매니저 화면에 분석값 확인 가능)</t>
        </is>
      </c>
      <c r="H32" s="38" t="inlineStr">
        <is>
          <t>매니저 화면 분석값과 결과지 노출값을 글자·자릿수 단위로 대조</t>
        </is>
      </c>
      <c r="I32" s="38" t="inlineStr">
        <is>
          <t>3단계 분석값(매니저 결과확인 화면)</t>
        </is>
      </c>
      <c r="J32" s="38" t="inlineStr">
        <is>
          <t>JSON 항목 배열 길이 = 렌더 행 수(빈칸 보정행 제외), 누락·중복 없음</t>
        </is>
      </c>
      <c r="K32" s="37" t="inlineStr"/>
      <c r="L32" s="38" t="inlineStr"/>
      <c r="M32" s="38" t="inlineStr"/>
      <c r="N32" s="38" t="inlineStr"/>
      <c r="O32" s="37" t="inlineStr"/>
      <c r="P32" s="37" t="inlineStr"/>
      <c r="Q32" s="37" t="inlineStr"/>
      <c r="R32" s="38" t="inlineStr">
        <is>
          <t>[데이터대조]</t>
        </is>
      </c>
      <c r="S32" s="37" t="inlineStr">
        <is>
          <t>공통</t>
        </is>
      </c>
      <c r="T32" s="37" t="inlineStr">
        <is>
          <t>작업자3</t>
        </is>
      </c>
    </row>
    <row r="33">
      <c r="A33" s="39">
        <f>IFERROR(INDEX('시나리오'!$G$5:$G$11,MATCH($T33,'시나리오'!$L$5:$L$11,0)),$T33)</f>
        <v/>
      </c>
      <c r="B33" s="39" t="inlineStr">
        <is>
          <t>RPT-032</t>
        </is>
      </c>
      <c r="C33" s="40" t="inlineStr">
        <is>
          <t>결과지(출력물)</t>
        </is>
      </c>
      <c r="D33" s="40" t="inlineStr">
        <is>
          <t>E. 합불 배지</t>
        </is>
      </c>
      <c r="E33" s="39" t="inlineStr">
        <is>
          <t>P1</t>
        </is>
      </c>
      <c r="F33" s="40" t="inlineStr">
        <is>
          <t>E1 직군 위치 배지</t>
        </is>
      </c>
      <c r="G33" s="40" t="inlineStr">
        <is>
          <t>샘플 자소서가 접수→분석→결과지까지 완료(매니저 화면에 분석값 확인 가능)</t>
        </is>
      </c>
      <c r="H33" s="40" t="inlineStr">
        <is>
          <t>기대결과의 규칙대로 기대값을 재계산한 뒤 결과지와 대조</t>
        </is>
      </c>
      <c r="I33" s="40" t="inlineStr">
        <is>
          <t>3단계 분석값(매니저 결과확인 화면)</t>
        </is>
      </c>
      <c r="J33" s="40" t="inlineStr">
        <is>
          <t>직무별 비교군 10명 이상일 때만 출력. 텍스트='{benchmarks.group} 상위 {benchmarks.percentile}%'. 비교군 10명 미만(9명 이하)이면 상위% 배지·수치 미출력(접수화면 안내문과 동일 기준, E8 연계)</t>
        </is>
      </c>
      <c r="K33" s="39" t="inlineStr"/>
      <c r="L33" s="40" t="inlineStr"/>
      <c r="M33" s="40" t="inlineStr"/>
      <c r="N33" s="40" t="inlineStr"/>
      <c r="O33" s="39" t="inlineStr"/>
      <c r="P33" s="39" t="inlineStr"/>
      <c r="Q33" s="39" t="inlineStr"/>
      <c r="R33" s="40" t="inlineStr">
        <is>
          <t>[규칙계산]</t>
        </is>
      </c>
      <c r="S33" s="39" t="inlineStr">
        <is>
          <t>시나리오</t>
        </is>
      </c>
      <c r="T33" s="39" t="inlineStr">
        <is>
          <t>작업자1</t>
        </is>
      </c>
    </row>
    <row r="34">
      <c r="A34" s="37">
        <f>IFERROR(INDEX('시나리오'!$G$5:$G$11,MATCH($T34,'시나리오'!$L$5:$L$11,0)),$T34)</f>
        <v/>
      </c>
      <c r="B34" s="37" t="inlineStr">
        <is>
          <t>RPT-033</t>
        </is>
      </c>
      <c r="C34" s="38" t="inlineStr">
        <is>
          <t>결과지(출력물)</t>
        </is>
      </c>
      <c r="D34" s="38" t="inlineStr">
        <is>
          <t>E. 합불 배지</t>
        </is>
      </c>
      <c r="E34" s="37" t="inlineStr">
        <is>
          <t>P1</t>
        </is>
      </c>
      <c r="F34" s="38" t="inlineStr">
        <is>
          <t>E2 합불 배지 출력 여부</t>
        </is>
      </c>
      <c r="G34" s="38" t="inlineStr">
        <is>
          <t>샘플 자소서가 접수→분석→결과지까지 완료(매니저 화면에 분석값 확인 가능)</t>
        </is>
      </c>
      <c r="H34" s="38" t="inlineStr">
        <is>
          <t>기대결과의 규칙대로 기대값을 재계산한 뒤 결과지와 대조</t>
        </is>
      </c>
      <c r="I34" s="38" t="inlineStr">
        <is>
          <t>3단계 분석값(매니저 결과확인 화면)</t>
        </is>
      </c>
      <c r="J34" s="38" t="inlineStr">
        <is>
          <t>meta.pass_badge.mode=null이면 .bp-badge.fill·.dot-cut·컷 범례 모두 미출력, null 아니면 출력</t>
        </is>
      </c>
      <c r="K34" s="37" t="inlineStr"/>
      <c r="L34" s="38" t="inlineStr"/>
      <c r="M34" s="38" t="inlineStr"/>
      <c r="N34" s="38" t="inlineStr"/>
      <c r="O34" s="37" t="inlineStr"/>
      <c r="P34" s="37" t="inlineStr"/>
      <c r="Q34" s="37" t="inlineStr"/>
      <c r="R34" s="38" t="inlineStr">
        <is>
          <t>[규칙계산]</t>
        </is>
      </c>
      <c r="S34" s="37" t="inlineStr">
        <is>
          <t>시나리오</t>
        </is>
      </c>
      <c r="T34" s="37" t="inlineStr">
        <is>
          <t>작업자1</t>
        </is>
      </c>
    </row>
    <row r="35">
      <c r="A35" s="39">
        <f>IFERROR(INDEX('시나리오'!$G$5:$G$11,MATCH($T35,'시나리오'!$L$5:$L$11,0)),$T35)</f>
        <v/>
      </c>
      <c r="B35" s="39" t="inlineStr">
        <is>
          <t>RPT-034</t>
        </is>
      </c>
      <c r="C35" s="40" t="inlineStr">
        <is>
          <t>결과지(출력물)</t>
        </is>
      </c>
      <c r="D35" s="40" t="inlineStr">
        <is>
          <t>E. 합불 배지</t>
        </is>
      </c>
      <c r="E35" s="39" t="inlineStr">
        <is>
          <t>P1</t>
        </is>
      </c>
      <c r="F35" s="40" t="inlineStr">
        <is>
          <t>E3 합불 배지 텍스트</t>
        </is>
      </c>
      <c r="G35" s="40" t="inlineStr">
        <is>
          <t>샘플 자소서가 접수→분석→결과지까지 완료(매니저 화면에 분석값 확인 가능)</t>
        </is>
      </c>
      <c r="H35" s="40" t="inlineStr">
        <is>
          <t>매니저 화면 분석값과 결과지 노출값을 글자·자릿수 단위로 대조</t>
        </is>
      </c>
      <c r="I35" s="40" t="inlineStr">
        <is>
          <t>3단계 분석값(매니저 결과확인 화면)</t>
        </is>
      </c>
      <c r="J35" s="40" t="inlineStr">
        <is>
          <t>meta.pass_badge.label과 일치</t>
        </is>
      </c>
      <c r="K35" s="39" t="inlineStr"/>
      <c r="L35" s="40" t="inlineStr"/>
      <c r="M35" s="40" t="inlineStr"/>
      <c r="N35" s="40" t="inlineStr"/>
      <c r="O35" s="39" t="inlineStr"/>
      <c r="P35" s="39" t="inlineStr"/>
      <c r="Q35" s="39" t="inlineStr"/>
      <c r="R35" s="40" t="inlineStr">
        <is>
          <t>[데이터대조]</t>
        </is>
      </c>
      <c r="S35" s="39" t="inlineStr">
        <is>
          <t>시나리오</t>
        </is>
      </c>
      <c r="T35" s="39" t="inlineStr">
        <is>
          <t>작업자1</t>
        </is>
      </c>
    </row>
    <row r="36">
      <c r="A36" s="37">
        <f>IFERROR(INDEX('시나리오'!$G$5:$G$11,MATCH($T36,'시나리오'!$L$5:$L$11,0)),$T36)</f>
        <v/>
      </c>
      <c r="B36" s="37" t="inlineStr">
        <is>
          <t>RPT-035</t>
        </is>
      </c>
      <c r="C36" s="38" t="inlineStr">
        <is>
          <t>결과지(출력물)</t>
        </is>
      </c>
      <c r="D36" s="38" t="inlineStr">
        <is>
          <t>E. 합불 배지</t>
        </is>
      </c>
      <c r="E36" s="37" t="inlineStr">
        <is>
          <t>P1</t>
        </is>
      </c>
      <c r="F36" s="38" t="inlineStr">
        <is>
          <t>E4 합불 배지 색 분기</t>
        </is>
      </c>
      <c r="G36" s="38" t="inlineStr">
        <is>
          <t>샘플 자소서가 접수→분석→결과지까지 완료(매니저 화면에 분석값 확인 가능)</t>
        </is>
      </c>
      <c r="H36" s="38" t="inlineStr">
        <is>
          <t>기대결과의 규칙대로 기대값을 재계산한 뒤 결과지와 대조</t>
        </is>
      </c>
      <c r="I36" s="38" t="inlineStr">
        <is>
          <t>3단계 분석값(매니저 결과확인 화면)</t>
        </is>
      </c>
      <c r="J36" s="38" t="inlineStr">
        <is>
          <t>'N배수 이내'→.fill(파랑 #e0f3ff), 'N배수 미만'→.fill.over(주황 #d75d00). 텍스트·색 클래스 동시 일치(점수기준 제거)</t>
        </is>
      </c>
      <c r="K36" s="37" t="inlineStr"/>
      <c r="L36" s="38" t="inlineStr"/>
      <c r="M36" s="38" t="inlineStr"/>
      <c r="N36" s="38" t="inlineStr"/>
      <c r="O36" s="37" t="inlineStr"/>
      <c r="P36" s="37" t="inlineStr"/>
      <c r="Q36" s="37" t="inlineStr"/>
      <c r="R36" s="38" t="inlineStr">
        <is>
          <t>[규칙계산]</t>
        </is>
      </c>
      <c r="S36" s="37" t="inlineStr">
        <is>
          <t>시나리오</t>
        </is>
      </c>
      <c r="T36" s="37" t="inlineStr">
        <is>
          <t>작업자1</t>
        </is>
      </c>
    </row>
    <row r="37">
      <c r="A37" s="39">
        <f>IFERROR(INDEX('시나리오'!$G$5:$G$11,MATCH($T37,'시나리오'!$L$5:$L$11,0)),$T37)</f>
        <v/>
      </c>
      <c r="B37" s="39" t="inlineStr">
        <is>
          <t>RPT-036</t>
        </is>
      </c>
      <c r="C37" s="40" t="inlineStr">
        <is>
          <t>결과지(출력물)</t>
        </is>
      </c>
      <c r="D37" s="40" t="inlineStr">
        <is>
          <t>E. 합불 배지</t>
        </is>
      </c>
      <c r="E37" s="39" t="inlineStr">
        <is>
          <t>P1</t>
        </is>
      </c>
      <c r="F37" s="40" t="inlineStr">
        <is>
          <t>E5 컷 막대 동반</t>
        </is>
      </c>
      <c r="G37" s="40" t="inlineStr">
        <is>
          <t>샘플 자소서가 접수→분석→결과지까지 완료(매니저 화면에 분석값 확인 가능)</t>
        </is>
      </c>
      <c r="H37" s="40" t="inlineStr">
        <is>
          <t>기대결과의 규칙대로 기대값을 재계산한 뒤 결과지와 대조</t>
        </is>
      </c>
      <c r="I37" s="40" t="inlineStr">
        <is>
          <t>3단계 분석값(매니저 결과확인 화면)</t>
        </is>
      </c>
      <c r="J37" s="40" t="inlineStr">
        <is>
          <t>합불 모드일 때만 요약막대에 컷 점(.dot-cut)+컷 범례(cut.label+cut.score) 동반</t>
        </is>
      </c>
      <c r="K37" s="39" t="inlineStr"/>
      <c r="L37" s="40" t="inlineStr"/>
      <c r="M37" s="40" t="inlineStr"/>
      <c r="N37" s="40" t="inlineStr"/>
      <c r="O37" s="39" t="inlineStr"/>
      <c r="P37" s="39" t="inlineStr"/>
      <c r="Q37" s="39" t="inlineStr"/>
      <c r="R37" s="40" t="inlineStr">
        <is>
          <t>[규칙계산]</t>
        </is>
      </c>
      <c r="S37" s="39" t="inlineStr">
        <is>
          <t>시나리오</t>
        </is>
      </c>
      <c r="T37" s="39" t="inlineStr">
        <is>
          <t>작업자1</t>
        </is>
      </c>
    </row>
    <row r="38">
      <c r="A38" s="37">
        <f>IFERROR(INDEX('시나리오'!$G$5:$G$11,MATCH($T38,'시나리오'!$L$5:$L$11,0)),$T38)</f>
        <v/>
      </c>
      <c r="B38" s="37" t="inlineStr">
        <is>
          <t>RPT-037</t>
        </is>
      </c>
      <c r="C38" s="38" t="inlineStr">
        <is>
          <t>결과지(출력물)</t>
        </is>
      </c>
      <c r="D38" s="38" t="inlineStr">
        <is>
          <t>E. 합불 배지</t>
        </is>
      </c>
      <c r="E38" s="37" t="inlineStr">
        <is>
          <t>P2</t>
        </is>
      </c>
      <c r="F38" s="38" t="inlineStr">
        <is>
          <t>E6 합불 배지 정책 불변·전 라이선스 적용</t>
        </is>
      </c>
      <c r="G38" s="38" t="inlineStr">
        <is>
          <t>샘플 자소서가 접수→분석→결과지까지 완료(매니저 화면에 분석값 확인 가능)</t>
        </is>
      </c>
      <c r="H38" s="38" t="inlineStr">
        <is>
          <t>기대결과의 규칙대로 기대값을 재계산한 뒤 결과지와 대조</t>
        </is>
      </c>
      <c r="I38" s="38" t="inlineStr">
        <is>
          <t>3단계 분석값(매니저 결과확인 화면)</t>
        </is>
      </c>
      <c r="J38" s="38" t="inlineStr">
        <is>
          <t>합불 배지(적격/검토 필요) 사용 여부는 모든 라이선스에 적용. 4.2에서 정책·기능 변경 없음(기존 로직 유지, 모든 경우의 수를 다 표현하진 않음)</t>
        </is>
      </c>
      <c r="K38" s="37" t="inlineStr"/>
      <c r="L38" s="38" t="inlineStr"/>
      <c r="M38" s="38" t="inlineStr"/>
      <c r="N38" s="38" t="inlineStr"/>
      <c r="O38" s="37" t="inlineStr"/>
      <c r="P38" s="37" t="inlineStr"/>
      <c r="Q38" s="37" t="inlineStr"/>
      <c r="R38" s="38" t="inlineStr">
        <is>
          <t>[규칙계산]</t>
        </is>
      </c>
      <c r="S38" s="37" t="inlineStr">
        <is>
          <t>시나리오</t>
        </is>
      </c>
      <c r="T38" s="37" t="inlineStr">
        <is>
          <t>작업자1</t>
        </is>
      </c>
    </row>
    <row r="39">
      <c r="A39" s="39">
        <f>IFERROR(INDEX('시나리오'!$G$5:$G$11,MATCH($T39,'시나리오'!$L$5:$L$11,0)),$T39)</f>
        <v/>
      </c>
      <c r="B39" s="39" t="inlineStr">
        <is>
          <t>RPT-038</t>
        </is>
      </c>
      <c r="C39" s="40" t="inlineStr">
        <is>
          <t>결과지(출력물)</t>
        </is>
      </c>
      <c r="D39" s="40" t="inlineStr">
        <is>
          <t>E. 합불 배지</t>
        </is>
      </c>
      <c r="E39" s="39" t="inlineStr">
        <is>
          <t>P1</t>
        </is>
      </c>
      <c r="F39" s="40" t="inlineStr">
        <is>
          <t>E7 종합결과 페이지 합불 칩</t>
        </is>
      </c>
      <c r="G39" s="40" t="inlineStr">
        <is>
          <t>샘플 자소서가 접수→분석→결과지까지 완료(매니저 화면에 분석값 확인 가능)</t>
        </is>
      </c>
      <c r="H39" s="40" t="inlineStr">
        <is>
          <t>기대결과의 규칙대로 기대값을 재계산한 뒤 결과지와 대조</t>
        </is>
      </c>
      <c r="I39" s="40" t="inlineStr">
        <is>
          <t>3단계 분석값(매니저 결과확인 화면)</t>
        </is>
      </c>
      <c r="J39" s="40" t="inlineStr">
        <is>
          <t>복수 라이선스 종합결과 페이지 상단에 배수 기준 판정 칩이 단독과 동일 규칙으로 표시('N배수 이내' 파랑, 'N배수 미만' 주황). 텍스트·색 모두 일치</t>
        </is>
      </c>
      <c r="K39" s="39" t="inlineStr"/>
      <c r="L39" s="40" t="inlineStr"/>
      <c r="M39" s="40" t="inlineStr"/>
      <c r="N39" s="40" t="inlineStr"/>
      <c r="O39" s="39" t="inlineStr"/>
      <c r="P39" s="39" t="inlineStr"/>
      <c r="Q39" s="39" t="inlineStr"/>
      <c r="R39" s="40" t="inlineStr">
        <is>
          <t>[규칙계산]</t>
        </is>
      </c>
      <c r="S39" s="39" t="inlineStr">
        <is>
          <t>시나리오</t>
        </is>
      </c>
      <c r="T39" s="39" t="inlineStr">
        <is>
          <t>작업자4</t>
        </is>
      </c>
    </row>
    <row r="40">
      <c r="A40" s="37">
        <f>IFERROR(INDEX('시나리오'!$G$5:$G$11,MATCH($T40,'시나리오'!$L$5:$L$11,0)),$T40)</f>
        <v/>
      </c>
      <c r="B40" s="37" t="inlineStr">
        <is>
          <t>RPT-039</t>
        </is>
      </c>
      <c r="C40" s="38" t="inlineStr">
        <is>
          <t>결과지(출력물)</t>
        </is>
      </c>
      <c r="D40" s="38" t="inlineStr">
        <is>
          <t>E. 합불 배지</t>
        </is>
      </c>
      <c r="E40" s="37" t="inlineStr">
        <is>
          <t>P1</t>
        </is>
      </c>
      <c r="F40" s="38" t="inlineStr">
        <is>
          <t>E8 비교군 10명 미만 상위% 미출력</t>
        </is>
      </c>
      <c r="G40" s="38" t="inlineStr">
        <is>
          <t>샘플 자소서가 접수→분석→결과지까지 완료(매니저 화면에 분석값 확인 가능)</t>
        </is>
      </c>
      <c r="H40" s="38" t="inlineStr">
        <is>
          <t>기대결과의 규칙대로 기대값을 재계산한 뒤 결과지와 대조</t>
        </is>
      </c>
      <c r="I40" s="38" t="inlineStr">
        <is>
          <t>3단계 분석값(매니저 결과확인 화면)</t>
        </is>
      </c>
      <c r="J40" s="38" t="inlineStr">
        <is>
          <t>직무별 비교군 인원이 10명 미만(9명 이하)이면 직군 위치 배지(상위%)·요약막대 상위10% 위치점(.dot-top)·'상위 10%' 범례·미니막대 top10 점이 모두 미출력. 10명 이상이면 출력. 평균(avg) 비교는 인원과 무관하게 유지(접수화면 안내문 기준)</t>
        </is>
      </c>
      <c r="K40" s="37" t="inlineStr"/>
      <c r="L40" s="38" t="inlineStr"/>
      <c r="M40" s="38" t="inlineStr"/>
      <c r="N40" s="38" t="inlineStr"/>
      <c r="O40" s="37" t="inlineStr"/>
      <c r="P40" s="37" t="inlineStr"/>
      <c r="Q40" s="37" t="inlineStr"/>
      <c r="R40" s="38" t="inlineStr">
        <is>
          <t>[규칙계산]</t>
        </is>
      </c>
      <c r="S40" s="37" t="inlineStr">
        <is>
          <t>시나리오</t>
        </is>
      </c>
      <c r="T40" s="37" t="inlineStr">
        <is>
          <t>작업자1</t>
        </is>
      </c>
    </row>
    <row r="41">
      <c r="A41" s="39">
        <f>IFERROR(INDEX('시나리오'!$G$5:$G$11,MATCH($T41,'시나리오'!$L$5:$L$11,0)),$T41)</f>
        <v/>
      </c>
      <c r="B41" s="39" t="inlineStr">
        <is>
          <t>RPT-040</t>
        </is>
      </c>
      <c r="C41" s="40" t="inlineStr">
        <is>
          <t>결과지(출력물)</t>
        </is>
      </c>
      <c r="D41" s="40" t="inlineStr">
        <is>
          <t>F. 검증 포인트</t>
        </is>
      </c>
      <c r="E41" s="39" t="inlineStr">
        <is>
          <t>P2</t>
        </is>
      </c>
      <c r="F41" s="40" t="inlineStr">
        <is>
          <t>F1 강점 카드</t>
        </is>
      </c>
      <c r="G41" s="40" t="inlineStr">
        <is>
          <t>샘플 자소서가 접수→분석→결과지까지 완료(매니저 화면에 분석값 확인 가능)</t>
        </is>
      </c>
      <c r="H41" s="40" t="inlineStr">
        <is>
          <t>기대결과의 규칙대로 기대값을 재계산한 뒤 결과지와 대조</t>
        </is>
      </c>
      <c r="I41" s="40" t="inlineStr">
        <is>
          <t>3단계 분석값(매니저 결과확인 화면)</t>
        </is>
      </c>
      <c r="J41" s="40" t="inlineStr">
        <is>
          <t>강점=factor 중 상위 등급 2개(verification.strengths)와 개수·순서 일치, 배지 .vp-badge.up. 답변적합도·구체성·본인소개(metric)는 강점에 미노출(factor만)</t>
        </is>
      </c>
      <c r="K41" s="39" t="inlineStr"/>
      <c r="L41" s="40" t="inlineStr"/>
      <c r="M41" s="40" t="inlineStr"/>
      <c r="N41" s="40" t="inlineStr"/>
      <c r="O41" s="39" t="inlineStr"/>
      <c r="P41" s="39" t="inlineStr"/>
      <c r="Q41" s="39" t="inlineStr"/>
      <c r="R41" s="40" t="inlineStr">
        <is>
          <t>[규칙계산]</t>
        </is>
      </c>
      <c r="S41" s="39" t="inlineStr">
        <is>
          <t>공통</t>
        </is>
      </c>
      <c r="T41" s="39" t="inlineStr">
        <is>
          <t>작업자4</t>
        </is>
      </c>
    </row>
    <row r="42">
      <c r="A42" s="37">
        <f>IFERROR(INDEX('시나리오'!$G$5:$G$11,MATCH($T42,'시나리오'!$L$5:$L$11,0)),$T42)</f>
        <v/>
      </c>
      <c r="B42" s="37" t="inlineStr">
        <is>
          <t>RPT-041</t>
        </is>
      </c>
      <c r="C42" s="38" t="inlineStr">
        <is>
          <t>결과지(출력물)</t>
        </is>
      </c>
      <c r="D42" s="38" t="inlineStr">
        <is>
          <t>F. 검증 포인트</t>
        </is>
      </c>
      <c r="E42" s="37" t="inlineStr">
        <is>
          <t>P2</t>
        </is>
      </c>
      <c r="F42" s="38" t="inlineStr">
        <is>
          <t>F2 검토 카드</t>
        </is>
      </c>
      <c r="G42" s="38" t="inlineStr">
        <is>
          <t>샘플 자소서가 접수→분석→결과지까지 완료(매니저 화면에 분석값 확인 가능)</t>
        </is>
      </c>
      <c r="H42" s="38" t="inlineStr">
        <is>
          <t>기대결과의 규칙대로 기대값을 재계산한 뒤 결과지와 대조</t>
        </is>
      </c>
      <c r="I42" s="38" t="inlineStr">
        <is>
          <t>3단계 분석값(매니저 결과확인 화면)</t>
        </is>
      </c>
      <c r="J42" s="38" t="inlineStr">
        <is>
          <t>검토=factor 중 하위 등급 2개(verification.reviews)와 개수·순서 일치, 배지 .vp-badge.down. 답변적합도·구체성·본인소개(metric)는 검토에 미노출(factor만)</t>
        </is>
      </c>
      <c r="K42" s="37" t="inlineStr"/>
      <c r="L42" s="38" t="inlineStr"/>
      <c r="M42" s="38" t="inlineStr"/>
      <c r="N42" s="38" t="inlineStr"/>
      <c r="O42" s="37" t="inlineStr"/>
      <c r="P42" s="37" t="inlineStr"/>
      <c r="Q42" s="37" t="inlineStr"/>
      <c r="R42" s="38" t="inlineStr">
        <is>
          <t>[규칙계산]</t>
        </is>
      </c>
      <c r="S42" s="37" t="inlineStr">
        <is>
          <t>공통</t>
        </is>
      </c>
      <c r="T42" s="37" t="inlineStr">
        <is>
          <t>작업자5</t>
        </is>
      </c>
    </row>
    <row r="43">
      <c r="A43" s="39">
        <f>IFERROR(INDEX('시나리오'!$G$5:$G$11,MATCH($T43,'시나리오'!$L$5:$L$11,0)),$T43)</f>
        <v/>
      </c>
      <c r="B43" s="39" t="inlineStr">
        <is>
          <t>RPT-042</t>
        </is>
      </c>
      <c r="C43" s="40" t="inlineStr">
        <is>
          <t>결과지(출력물)</t>
        </is>
      </c>
      <c r="D43" s="40" t="inlineStr">
        <is>
          <t>F. 검증 포인트</t>
        </is>
      </c>
      <c r="E43" s="39" t="inlineStr">
        <is>
          <t>P2</t>
        </is>
      </c>
      <c r="F43" s="40" t="inlineStr">
        <is>
          <t>F3 factor명·등급칩</t>
        </is>
      </c>
      <c r="G43" s="40" t="inlineStr">
        <is>
          <t>샘플 자소서가 접수→분석→결과지까지 완료(매니저 화면에 분석값 확인 가능)</t>
        </is>
      </c>
      <c r="H43" s="40" t="inlineStr">
        <is>
          <t>매니저 화면 분석값과 결과지 노출값을 글자·자릿수 단위로 대조</t>
        </is>
      </c>
      <c r="I43" s="40" t="inlineStr">
        <is>
          <t>3단계 분석값(매니저 결과확인 화면)</t>
        </is>
      </c>
      <c r="J43" s="40" t="inlineStr">
        <is>
          <t>.nm=factor, .vp-grade=등급 매핑(상/중/하/-)</t>
        </is>
      </c>
      <c r="K43" s="39" t="inlineStr"/>
      <c r="L43" s="40" t="inlineStr"/>
      <c r="M43" s="40" t="inlineStr"/>
      <c r="N43" s="40" t="inlineStr"/>
      <c r="O43" s="39" t="inlineStr"/>
      <c r="P43" s="39" t="inlineStr"/>
      <c r="Q43" s="39" t="inlineStr"/>
      <c r="R43" s="40" t="inlineStr">
        <is>
          <t>[데이터대조]</t>
        </is>
      </c>
      <c r="S43" s="39" t="inlineStr">
        <is>
          <t>공통</t>
        </is>
      </c>
      <c r="T43" s="39" t="inlineStr">
        <is>
          <t>작업자6</t>
        </is>
      </c>
    </row>
    <row r="44">
      <c r="A44" s="37">
        <f>IFERROR(INDEX('시나리오'!$G$5:$G$11,MATCH($T44,'시나리오'!$L$5:$L$11,0)),$T44)</f>
        <v/>
      </c>
      <c r="B44" s="37" t="inlineStr">
        <is>
          <t>RPT-043</t>
        </is>
      </c>
      <c r="C44" s="38" t="inlineStr">
        <is>
          <t>결과지(출력물)</t>
        </is>
      </c>
      <c r="D44" s="38" t="inlineStr">
        <is>
          <t>F. 검증 포인트</t>
        </is>
      </c>
      <c r="E44" s="37" t="inlineStr">
        <is>
          <t>P2</t>
        </is>
      </c>
      <c r="F44" s="38" t="inlineStr">
        <is>
          <t>F4 대분류 라벨 매핑</t>
        </is>
      </c>
      <c r="G44" s="38" t="inlineStr">
        <is>
          <t>샘플 자소서가 접수→분석→결과지까지 완료(매니저 화면에 분석값 확인 가능)</t>
        </is>
      </c>
      <c r="H44" s="38" t="inlineStr">
        <is>
          <t>기대결과의 규칙대로 기대값을 재계산한 뒤 결과지와 대조</t>
        </is>
      </c>
      <c r="I44" s="38" t="inlineStr">
        <is>
          <t>3단계 분석값(매니저 결과확인 화면)</t>
        </is>
      </c>
      <c r="J44" s="38" t="inlineStr">
        <is>
          <t>.cat=FACTOR_AREA[factor] 매핑값 일치(매핑 없으면 .cat 미표시)</t>
        </is>
      </c>
      <c r="K44" s="37" t="inlineStr"/>
      <c r="L44" s="38" t="inlineStr"/>
      <c r="M44" s="38" t="inlineStr"/>
      <c r="N44" s="38" t="inlineStr"/>
      <c r="O44" s="37" t="inlineStr"/>
      <c r="P44" s="37" t="inlineStr"/>
      <c r="Q44" s="37" t="inlineStr"/>
      <c r="R44" s="38" t="inlineStr">
        <is>
          <t>[규칙계산]</t>
        </is>
      </c>
      <c r="S44" s="37" t="inlineStr">
        <is>
          <t>공통</t>
        </is>
      </c>
      <c r="T44" s="37" t="inlineStr">
        <is>
          <t>작업자7</t>
        </is>
      </c>
    </row>
    <row r="45">
      <c r="A45" s="39">
        <f>IFERROR(INDEX('시나리오'!$G$5:$G$11,MATCH($T45,'시나리오'!$L$5:$L$11,0)),$T45)</f>
        <v/>
      </c>
      <c r="B45" s="39" t="inlineStr">
        <is>
          <t>RPT-044</t>
        </is>
      </c>
      <c r="C45" s="40" t="inlineStr">
        <is>
          <t>결과지(출력물)</t>
        </is>
      </c>
      <c r="D45" s="40" t="inlineStr">
        <is>
          <t>F. 검증 포인트</t>
        </is>
      </c>
      <c r="E45" s="39" t="inlineStr">
        <is>
          <t>P2</t>
        </is>
      </c>
      <c r="F45" s="40" t="inlineStr">
        <is>
          <t>F5 백분위 배지</t>
        </is>
      </c>
      <c r="G45" s="40" t="inlineStr">
        <is>
          <t>샘플 자소서가 접수→분석→결과지까지 완료(매니저 화면에 분석값 확인 가능)</t>
        </is>
      </c>
      <c r="H45" s="40" t="inlineStr">
        <is>
          <t>매니저 화면 분석값과 결과지 노출값을 글자·자릿수 단위로 대조</t>
        </is>
      </c>
      <c r="I45" s="40" t="inlineStr">
        <is>
          <t>3단계 분석값(매니저 결과확인 화면)</t>
        </is>
      </c>
      <c r="J45" s="40" t="inlineStr">
        <is>
          <t>.vp-badge pct 텍스트 일치(예 '상위 18%'·'하위 12%')</t>
        </is>
      </c>
      <c r="K45" s="39" t="inlineStr"/>
      <c r="L45" s="40" t="inlineStr"/>
      <c r="M45" s="40" t="inlineStr"/>
      <c r="N45" s="40" t="inlineStr"/>
      <c r="O45" s="39" t="inlineStr"/>
      <c r="P45" s="39" t="inlineStr"/>
      <c r="Q45" s="39" t="inlineStr"/>
      <c r="R45" s="40" t="inlineStr">
        <is>
          <t>[데이터대조]</t>
        </is>
      </c>
      <c r="S45" s="39" t="inlineStr">
        <is>
          <t>공통</t>
        </is>
      </c>
      <c r="T45" s="39" t="inlineStr">
        <is>
          <t>작업자1</t>
        </is>
      </c>
    </row>
    <row r="46">
      <c r="A46" s="37">
        <f>IFERROR(INDEX('시나리오'!$G$5:$G$11,MATCH($T46,'시나리오'!$L$5:$L$11,0)),$T46)</f>
        <v/>
      </c>
      <c r="B46" s="37" t="inlineStr">
        <is>
          <t>RPT-045</t>
        </is>
      </c>
      <c r="C46" s="38" t="inlineStr">
        <is>
          <t>결과지(출력물)</t>
        </is>
      </c>
      <c r="D46" s="38" t="inlineStr">
        <is>
          <t>F. 검증 포인트</t>
        </is>
      </c>
      <c r="E46" s="37" t="inlineStr">
        <is>
          <t>P2</t>
        </is>
      </c>
      <c r="F46" s="38" t="inlineStr">
        <is>
          <t>F6 근거요약·면접질문</t>
        </is>
      </c>
      <c r="G46" s="38" t="inlineStr">
        <is>
          <t>샘플 자소서가 접수→분석→결과지까지 완료(매니저 화면에 분석값 확인 가능)</t>
        </is>
      </c>
      <c r="H46" s="38" t="inlineStr">
        <is>
          <t>매니저 화면 분석값과 결과지 노출값을 글자·자릿수 단위로 대조</t>
        </is>
      </c>
      <c r="I46" s="38" t="inlineStr">
        <is>
          <t>3단계 분석값(매니저 결과확인 화면)</t>
        </is>
      </c>
      <c r="J46" s="38" t="inlineStr">
        <is>
          <t>.vp-sum=각 factor 근거요약(해당 항목 근거문장으로 추출된 문장 요약, 근거요약 API 활용). .vp-tip .ttxt=면접질문(해당 항목 근거문장 기반 추천 질문)</t>
        </is>
      </c>
      <c r="K46" s="37" t="inlineStr"/>
      <c r="L46" s="38" t="inlineStr"/>
      <c r="M46" s="38" t="inlineStr"/>
      <c r="N46" s="38" t="inlineStr"/>
      <c r="O46" s="37" t="inlineStr"/>
      <c r="P46" s="37" t="inlineStr"/>
      <c r="Q46" s="37" t="inlineStr"/>
      <c r="R46" s="38" t="inlineStr">
        <is>
          <t>[데이터대조]</t>
        </is>
      </c>
      <c r="S46" s="37" t="inlineStr">
        <is>
          <t>공통</t>
        </is>
      </c>
      <c r="T46" s="37" t="inlineStr">
        <is>
          <t>작업자2</t>
        </is>
      </c>
    </row>
    <row r="47">
      <c r="A47" s="39">
        <f>IFERROR(INDEX('시나리오'!$G$5:$G$11,MATCH($T47,'시나리오'!$L$5:$L$11,0)),$T47)</f>
        <v/>
      </c>
      <c r="B47" s="39" t="inlineStr">
        <is>
          <t>RPT-046</t>
        </is>
      </c>
      <c r="C47" s="40" t="inlineStr">
        <is>
          <t>결과지(출력물)</t>
        </is>
      </c>
      <c r="D47" s="40" t="inlineStr">
        <is>
          <t>F. 검증 포인트</t>
        </is>
      </c>
      <c r="E47" s="39" t="inlineStr">
        <is>
          <t>P2</t>
        </is>
      </c>
      <c r="F47" s="40" t="inlineStr">
        <is>
          <t>F7 하단 하드스킬 칩</t>
        </is>
      </c>
      <c r="G47" s="40" t="inlineStr">
        <is>
          <t>샘플 자소서가 접수→분석→결과지까지 완료(매니저 화면에 분석값 확인 가능)</t>
        </is>
      </c>
      <c r="H47" s="40" t="inlineStr">
        <is>
          <t>기대결과의 규칙대로 기대값을 재계산한 뒤 결과지와 대조</t>
        </is>
      </c>
      <c r="I47" s="40" t="inlineStr">
        <is>
          <t>3단계 분석값(매니저 결과확인 화면)</t>
        </is>
      </c>
      <c r="J47" s="40" t="inlineStr">
        <is>
          <t>강점카드 하단=확인된 하드스킬(검출), 검토카드 하단=확인되지 않은 하드스킬(미검출)</t>
        </is>
      </c>
      <c r="K47" s="39" t="inlineStr"/>
      <c r="L47" s="40" t="inlineStr"/>
      <c r="M47" s="40" t="inlineStr"/>
      <c r="N47" s="40" t="inlineStr"/>
      <c r="O47" s="39" t="inlineStr"/>
      <c r="P47" s="39" t="inlineStr"/>
      <c r="Q47" s="39" t="inlineStr"/>
      <c r="R47" s="40" t="inlineStr">
        <is>
          <t>[규칙계산]</t>
        </is>
      </c>
      <c r="S47" s="39" t="inlineStr">
        <is>
          <t>공통</t>
        </is>
      </c>
      <c r="T47" s="39" t="inlineStr">
        <is>
          <t>작업자3</t>
        </is>
      </c>
    </row>
    <row r="48">
      <c r="A48" s="37">
        <f>IFERROR(INDEX('시나리오'!$G$5:$G$11,MATCH($T48,'시나리오'!$L$5:$L$11,0)),$T48)</f>
        <v/>
      </c>
      <c r="B48" s="37" t="inlineStr">
        <is>
          <t>RPT-047</t>
        </is>
      </c>
      <c r="C48" s="38" t="inlineStr">
        <is>
          <t>결과지(출력물)</t>
        </is>
      </c>
      <c r="D48" s="38" t="inlineStr">
        <is>
          <t>F. 검증 포인트</t>
        </is>
      </c>
      <c r="E48" s="37" t="inlineStr">
        <is>
          <t>P1</t>
        </is>
      </c>
      <c r="F48" s="38" t="inlineStr">
        <is>
          <t>F8 강점/검토 후보=factor 한정</t>
        </is>
      </c>
      <c r="G48" s="38" t="inlineStr">
        <is>
          <t>샘플 자소서가 접수→분석→결과지까지 완료(매니저 화면에 분석값 확인 가능)</t>
        </is>
      </c>
      <c r="H48" s="38" t="inlineStr">
        <is>
          <t>기대결과의 규칙대로 기대값을 재계산한 뒤 결과지와 대조</t>
        </is>
      </c>
      <c r="I48" s="38" t="inlineStr">
        <is>
          <t>3단계 분석값(매니저 결과확인 화면)</t>
        </is>
      </c>
      <c r="J48" s="38" t="inlineStr">
        <is>
          <t>강점/검토 후보 = factor만 — 직무적합도(직무경험·직무지식·직무동기) / 직무역량 각 역량분자 / 조직적합도 각 역량분자 / 지원동기(직무동기·회사동기). 답변적합도·구체성·본인소개는 metric이라 강점/검토 영역에 미노출(SDS 3-5 변경)</t>
        </is>
      </c>
      <c r="K48" s="37" t="inlineStr"/>
      <c r="L48" s="38" t="inlineStr"/>
      <c r="M48" s="38" t="inlineStr"/>
      <c r="N48" s="38" t="inlineStr"/>
      <c r="O48" s="37" t="inlineStr"/>
      <c r="P48" s="37" t="inlineStr"/>
      <c r="Q48" s="37" t="inlineStr"/>
      <c r="R48" s="38" t="inlineStr">
        <is>
          <t>[규칙계산]</t>
        </is>
      </c>
      <c r="S48" s="37" t="inlineStr">
        <is>
          <t>공통</t>
        </is>
      </c>
      <c r="T48" s="37" t="inlineStr">
        <is>
          <t>작업자4</t>
        </is>
      </c>
    </row>
    <row r="49">
      <c r="A49" s="39">
        <f>IFERROR(INDEX('시나리오'!$G$5:$G$11,MATCH($T49,'시나리오'!$L$5:$L$11,0)),$T49)</f>
        <v/>
      </c>
      <c r="B49" s="39" t="inlineStr">
        <is>
          <t>RPT-048</t>
        </is>
      </c>
      <c r="C49" s="40" t="inlineStr">
        <is>
          <t>결과지(출력물)</t>
        </is>
      </c>
      <c r="D49" s="40" t="inlineStr">
        <is>
          <t>F. 검증 포인트</t>
        </is>
      </c>
      <c r="E49" s="39" t="inlineStr">
        <is>
          <t>P2</t>
        </is>
      </c>
      <c r="F49" s="40" t="inlineStr">
        <is>
          <t>F9 강점/검토 선정 우선순위</t>
        </is>
      </c>
      <c r="G49" s="40" t="inlineStr">
        <is>
          <t>샘플 자소서가 접수→분석→결과지까지 완료(매니저 화면에 분석값 확인 가능)</t>
        </is>
      </c>
      <c r="H49" s="40" t="inlineStr">
        <is>
          <t>기대결과의 규칙대로 기대값을 재계산한 뒤 결과지와 대조</t>
        </is>
      </c>
      <c r="I49" s="40" t="inlineStr">
        <is>
          <t>3단계 분석값(매니저 결과확인 화면)</t>
        </is>
      </c>
      <c r="J49" s="40" t="inlineStr">
        <is>
          <t>동일 등급 다수일 때 ① 가중치 높은 factor 우선, ② 동일 등급·동일 가중치면 정해진 순서: 직무역량 역량분자 &gt; 직무경험 &gt; 직무지식 &gt; 직무동기(직무적합도) &gt; 조직적합도 역량분자 &gt; 직무동기(지원동기) &gt; 회사동기</t>
        </is>
      </c>
      <c r="K49" s="39" t="inlineStr"/>
      <c r="L49" s="40" t="inlineStr"/>
      <c r="M49" s="40" t="inlineStr"/>
      <c r="N49" s="40" t="inlineStr"/>
      <c r="O49" s="39" t="inlineStr"/>
      <c r="P49" s="39" t="inlineStr"/>
      <c r="Q49" s="39" t="inlineStr"/>
      <c r="R49" s="40" t="inlineStr">
        <is>
          <t>[규칙계산]</t>
        </is>
      </c>
      <c r="S49" s="39" t="inlineStr">
        <is>
          <t>공통</t>
        </is>
      </c>
      <c r="T49" s="39" t="inlineStr">
        <is>
          <t>작업자5</t>
        </is>
      </c>
    </row>
    <row r="50">
      <c r="A50" s="37">
        <f>IFERROR(INDEX('시나리오'!$G$5:$G$11,MATCH($T50,'시나리오'!$L$5:$L$11,0)),$T50)</f>
        <v/>
      </c>
      <c r="B50" s="37" t="inlineStr">
        <is>
          <t>RPT-049</t>
        </is>
      </c>
      <c r="C50" s="38" t="inlineStr">
        <is>
          <t>결과지(출력물)</t>
        </is>
      </c>
      <c r="D50" s="38" t="inlineStr">
        <is>
          <t>G. 문항·자소서</t>
        </is>
      </c>
      <c r="E50" s="37" t="inlineStr">
        <is>
          <t>P1</t>
        </is>
      </c>
      <c r="F50" s="38" t="inlineStr">
        <is>
          <t>G1 문항 테이블 행 수</t>
        </is>
      </c>
      <c r="G50" s="38" t="inlineStr">
        <is>
          <t>샘플 자소서가 접수→분석→결과지까지 완료(매니저 화면에 분석값 확인 가능)</t>
        </is>
      </c>
      <c r="H50" s="38" t="inlineStr">
        <is>
          <t>매니저 화면 분석값과 결과지 노출값을 글자·자릿수 단위로 대조</t>
        </is>
      </c>
      <c r="I50" s="38" t="inlineStr">
        <is>
          <t>3단계 분석값(매니저 결과확인 화면)</t>
        </is>
      </c>
      <c r="J50" s="38" t="inlineStr">
        <is>
          <t>essay.questions 개수와 일치, 각 행 '문항 {no}'+title</t>
        </is>
      </c>
      <c r="K50" s="37" t="inlineStr"/>
      <c r="L50" s="38" t="inlineStr"/>
      <c r="M50" s="38" t="inlineStr"/>
      <c r="N50" s="38" t="inlineStr"/>
      <c r="O50" s="37" t="inlineStr"/>
      <c r="P50" s="37" t="inlineStr"/>
      <c r="Q50" s="37" t="inlineStr"/>
      <c r="R50" s="38" t="inlineStr">
        <is>
          <t>[데이터대조]</t>
        </is>
      </c>
      <c r="S50" s="37" t="inlineStr">
        <is>
          <t>공통</t>
        </is>
      </c>
      <c r="T50" s="37" t="inlineStr">
        <is>
          <t>작업자6</t>
        </is>
      </c>
    </row>
    <row r="51">
      <c r="A51" s="39">
        <f>IFERROR(INDEX('시나리오'!$G$5:$G$11,MATCH($T51,'시나리오'!$L$5:$L$11,0)),$T51)</f>
        <v/>
      </c>
      <c r="B51" s="39" t="inlineStr">
        <is>
          <t>RPT-050</t>
        </is>
      </c>
      <c r="C51" s="40" t="inlineStr">
        <is>
          <t>결과지(출력물)</t>
        </is>
      </c>
      <c r="D51" s="40" t="inlineStr">
        <is>
          <t>G. 문항·자소서</t>
        </is>
      </c>
      <c r="E51" s="39" t="inlineStr">
        <is>
          <t>P1</t>
        </is>
      </c>
      <c r="F51" s="40" t="inlineStr">
        <is>
          <t>G2 답변적합도 값</t>
        </is>
      </c>
      <c r="G51" s="40" t="inlineStr">
        <is>
          <t>샘플 자소서가 접수→분석→결과지까지 완료(매니저 화면에 분석값 확인 가능)</t>
        </is>
      </c>
      <c r="H51" s="40" t="inlineStr">
        <is>
          <t>매니저 화면 분석값과 결과지 노출값을 글자·자릿수 단위로 대조</t>
        </is>
      </c>
      <c r="I51" s="40" t="inlineStr">
        <is>
          <t>3단계 분석값(매니저 결과확인 화면)</t>
        </is>
      </c>
      <c r="J51" s="40" t="inlineStr">
        <is>
          <t>.qmetric .v = question.answer_fit(2자리)</t>
        </is>
      </c>
      <c r="K51" s="39" t="inlineStr"/>
      <c r="L51" s="40" t="inlineStr"/>
      <c r="M51" s="40" t="inlineStr"/>
      <c r="N51" s="40" t="inlineStr"/>
      <c r="O51" s="39" t="inlineStr"/>
      <c r="P51" s="39" t="inlineStr"/>
      <c r="Q51" s="39" t="inlineStr"/>
      <c r="R51" s="40" t="inlineStr">
        <is>
          <t>[데이터대조]</t>
        </is>
      </c>
      <c r="S51" s="39" t="inlineStr">
        <is>
          <t>공통</t>
        </is>
      </c>
      <c r="T51" s="39" t="inlineStr">
        <is>
          <t>작업자7</t>
        </is>
      </c>
    </row>
    <row r="52">
      <c r="A52" s="37">
        <f>IFERROR(INDEX('시나리오'!$G$5:$G$11,MATCH($T52,'시나리오'!$L$5:$L$11,0)),$T52)</f>
        <v/>
      </c>
      <c r="B52" s="37" t="inlineStr">
        <is>
          <t>RPT-051</t>
        </is>
      </c>
      <c r="C52" s="38" t="inlineStr">
        <is>
          <t>결과지(출력물)</t>
        </is>
      </c>
      <c r="D52" s="38" t="inlineStr">
        <is>
          <t>G. 문항·자소서</t>
        </is>
      </c>
      <c r="E52" s="37" t="inlineStr">
        <is>
          <t>P1</t>
        </is>
      </c>
      <c r="F52" s="38" t="inlineStr">
        <is>
          <t>G3 문항별 AI 작성률 % 표기</t>
        </is>
      </c>
      <c r="G52" s="38" t="inlineStr">
        <is>
          <t>샘플 자소서가 접수→분석→결과지까지 완료(매니저 화면에 분석값 확인 가능)</t>
        </is>
      </c>
      <c r="H52" s="38" t="inlineStr">
        <is>
          <t>기대결과의 규칙대로 기대값을 재계산한 뒤 결과지와 대조</t>
        </is>
      </c>
      <c r="I52" s="38" t="inlineStr">
        <is>
          <t>3단계 분석값(매니저 결과확인 화면)</t>
        </is>
      </c>
      <c r="J52" s="38" t="inlineStr">
        <is>
          <t>문항별 검사 결과 행에 'AI 작성률 N%' 동반 표기(SDS BP콘텐츠상세 3-5·예 2%·32%). .pct=AI 작성률(%), 임계 이상 주황(#f09000)·미만 .nd 회색. ※4.2 변경: 탐지/미탐지 이진표기→작성률 % 노출</t>
        </is>
      </c>
      <c r="K52" s="37" t="inlineStr"/>
      <c r="L52" s="38" t="inlineStr"/>
      <c r="M52" s="38" t="inlineStr"/>
      <c r="N52" s="38" t="inlineStr"/>
      <c r="O52" s="37" t="inlineStr"/>
      <c r="P52" s="37" t="inlineStr"/>
      <c r="Q52" s="37" t="inlineStr"/>
      <c r="R52" s="38" t="inlineStr">
        <is>
          <t>[규칙계산]</t>
        </is>
      </c>
      <c r="S52" s="37" t="inlineStr">
        <is>
          <t>공통</t>
        </is>
      </c>
      <c r="T52" s="37" t="inlineStr">
        <is>
          <t>작업자1</t>
        </is>
      </c>
    </row>
    <row r="53">
      <c r="A53" s="39">
        <f>IFERROR(INDEX('시나리오'!$G$5:$G$11,MATCH($T53,'시나리오'!$L$5:$L$11,0)),$T53)</f>
        <v/>
      </c>
      <c r="B53" s="39" t="inlineStr">
        <is>
          <t>RPT-052</t>
        </is>
      </c>
      <c r="C53" s="40" t="inlineStr">
        <is>
          <t>결과지(출력물)</t>
        </is>
      </c>
      <c r="D53" s="40" t="inlineStr">
        <is>
          <t>G. 문항·자소서</t>
        </is>
      </c>
      <c r="E53" s="39" t="inlineStr">
        <is>
          <t>P1</t>
        </is>
      </c>
      <c r="F53" s="40" t="inlineStr">
        <is>
          <t>G4 P3 카드 수</t>
        </is>
      </c>
      <c r="G53" s="40" t="inlineStr">
        <is>
          <t>샘플 자소서가 접수→분석→결과지까지 완료(매니저 화면에 분석값 확인 가능)</t>
        </is>
      </c>
      <c r="H53" s="40" t="inlineStr">
        <is>
          <t>매니저 화면 분석값과 결과지 노출값을 글자·자릿수 단위로 대조</t>
        </is>
      </c>
      <c r="I53" s="40" t="inlineStr">
        <is>
          <t>3단계 분석값(매니저 결과확인 화면)</t>
        </is>
      </c>
      <c r="J53" s="40" t="inlineStr">
        <is>
          <t>essay.questions 개수와 일치, 헤드 '문항 {no}'+title</t>
        </is>
      </c>
      <c r="K53" s="39" t="inlineStr"/>
      <c r="L53" s="40" t="inlineStr"/>
      <c r="M53" s="40" t="inlineStr"/>
      <c r="N53" s="40" t="inlineStr"/>
      <c r="O53" s="39" t="inlineStr"/>
      <c r="P53" s="39" t="inlineStr"/>
      <c r="Q53" s="39" t="inlineStr"/>
      <c r="R53" s="40" t="inlineStr">
        <is>
          <t>[데이터대조]</t>
        </is>
      </c>
      <c r="S53" s="39" t="inlineStr">
        <is>
          <t>공통</t>
        </is>
      </c>
      <c r="T53" s="39" t="inlineStr">
        <is>
          <t>작업자2</t>
        </is>
      </c>
    </row>
    <row r="54">
      <c r="A54" s="37">
        <f>IFERROR(INDEX('시나리오'!$G$5:$G$11,MATCH($T54,'시나리오'!$L$5:$L$11,0)),$T54)</f>
        <v/>
      </c>
      <c r="B54" s="37" t="inlineStr">
        <is>
          <t>RPT-053</t>
        </is>
      </c>
      <c r="C54" s="38" t="inlineStr">
        <is>
          <t>결과지(출력물)</t>
        </is>
      </c>
      <c r="D54" s="38" t="inlineStr">
        <is>
          <t>G. 문항·자소서</t>
        </is>
      </c>
      <c r="E54" s="37" t="inlineStr">
        <is>
          <t>P1</t>
        </is>
      </c>
      <c r="F54" s="38" t="inlineStr">
        <is>
          <t>G5 본문=sentences 전체</t>
        </is>
      </c>
      <c r="G54" s="38" t="inlineStr">
        <is>
          <t>샘플 자소서가 접수→분석→결과지까지 완료(매니저 화면에 분석값 확인 가능)</t>
        </is>
      </c>
      <c r="H54" s="38" t="inlineStr">
        <is>
          <t>매니저 화면 분석값과 결과지 노출값을 글자·자릿수 단위로 대조</t>
        </is>
      </c>
      <c r="I54" s="38" t="inlineStr">
        <is>
          <t>3단계 분석값(매니저 결과확인 화면)</t>
        </is>
      </c>
      <c r="J54" s="38" t="inlineStr">
        <is>
          <t>.p3-body에 모든 sentences[].text가 누락 없이 순서대로 포함</t>
        </is>
      </c>
      <c r="K54" s="37" t="inlineStr"/>
      <c r="L54" s="38" t="inlineStr"/>
      <c r="M54" s="38" t="inlineStr"/>
      <c r="N54" s="38" t="inlineStr"/>
      <c r="O54" s="37" t="inlineStr"/>
      <c r="P54" s="37" t="inlineStr"/>
      <c r="Q54" s="37" t="inlineStr"/>
      <c r="R54" s="38" t="inlineStr">
        <is>
          <t>[데이터대조]</t>
        </is>
      </c>
      <c r="S54" s="37" t="inlineStr">
        <is>
          <t>공통</t>
        </is>
      </c>
      <c r="T54" s="37" t="inlineStr">
        <is>
          <t>작업자3</t>
        </is>
      </c>
    </row>
    <row r="55">
      <c r="A55" s="39">
        <f>IFERROR(INDEX('시나리오'!$G$5:$G$11,MATCH($T55,'시나리오'!$L$5:$L$11,0)),$T55)</f>
        <v/>
      </c>
      <c r="B55" s="39" t="inlineStr">
        <is>
          <t>RPT-054</t>
        </is>
      </c>
      <c r="C55" s="40" t="inlineStr">
        <is>
          <t>결과지(출력물)</t>
        </is>
      </c>
      <c r="D55" s="40" t="inlineStr">
        <is>
          <t>G. 문항·자소서</t>
        </is>
      </c>
      <c r="E55" s="39" t="inlineStr">
        <is>
          <t>P1</t>
        </is>
      </c>
      <c r="F55" s="40" t="inlineStr">
        <is>
          <t>G6 근거문장 강조</t>
        </is>
      </c>
      <c r="G55" s="40" t="inlineStr">
        <is>
          <t>샘플 자소서가 접수→분석→결과지까지 완료(매니저 화면에 분석값 확인 가능)</t>
        </is>
      </c>
      <c r="H55" s="40" t="inlineStr">
        <is>
          <t>기대결과의 규칙대로 기대값을 재계산한 뒤 결과지와 대조</t>
        </is>
      </c>
      <c r="I55" s="40" t="inlineStr">
        <is>
          <t>3단계 분석값(매니저 결과확인 화면)</t>
        </is>
      </c>
      <c r="J55" s="40" t="inlineStr">
        <is>
          <t>.hl이 sentences[].hl==true 문장만 감쌈, false 문장엔 강조 없음</t>
        </is>
      </c>
      <c r="K55" s="39" t="inlineStr"/>
      <c r="L55" s="40" t="inlineStr"/>
      <c r="M55" s="40" t="inlineStr"/>
      <c r="N55" s="40" t="inlineStr"/>
      <c r="O55" s="39" t="inlineStr"/>
      <c r="P55" s="39" t="inlineStr"/>
      <c r="Q55" s="39" t="inlineStr"/>
      <c r="R55" s="40" t="inlineStr">
        <is>
          <t>[규칙계산]</t>
        </is>
      </c>
      <c r="S55" s="39" t="inlineStr">
        <is>
          <t>공통</t>
        </is>
      </c>
      <c r="T55" s="39" t="inlineStr">
        <is>
          <t>작업자4</t>
        </is>
      </c>
    </row>
    <row r="56">
      <c r="A56" s="37">
        <f>IFERROR(INDEX('시나리오'!$G$5:$G$11,MATCH($T56,'시나리오'!$L$5:$L$11,0)),$T56)</f>
        <v/>
      </c>
      <c r="B56" s="37" t="inlineStr">
        <is>
          <t>RPT-055</t>
        </is>
      </c>
      <c r="C56" s="38" t="inlineStr">
        <is>
          <t>결과지(출력물)</t>
        </is>
      </c>
      <c r="D56" s="38" t="inlineStr">
        <is>
          <t>G. 문항·자소서</t>
        </is>
      </c>
      <c r="E56" s="37" t="inlineStr">
        <is>
          <t>P2</t>
        </is>
      </c>
      <c r="F56" s="38" t="inlineStr">
        <is>
          <t>G7 P3 본문 gpk 밑줄 제거</t>
        </is>
      </c>
      <c r="G56" s="38" t="inlineStr">
        <is>
          <t>샘플 자소서가 접수→분석→결과지까지 완료(매니저 화면에 분석값 확인 가능)</t>
        </is>
      </c>
      <c r="H56" s="38" t="inlineStr">
        <is>
          <t>HTML 텍스트·구조를 regex/DOM 카운트로 검사</t>
        </is>
      </c>
      <c r="I56" s="38" t="inlineStr">
        <is>
          <t>-</t>
        </is>
      </c>
      <c r="J56" s="38" t="inlineStr">
        <is>
          <t>P3 본문에 문장단위 gpk 밑줄 없음(문항 단위 .p3-ai-val만 표기)</t>
        </is>
      </c>
      <c r="K56" s="37" t="inlineStr"/>
      <c r="L56" s="38" t="inlineStr"/>
      <c r="M56" s="38" t="inlineStr"/>
      <c r="N56" s="38" t="inlineStr"/>
      <c r="O56" s="37" t="inlineStr"/>
      <c r="P56" s="37" t="inlineStr"/>
      <c r="Q56" s="37" t="inlineStr"/>
      <c r="R56" s="38" t="inlineStr">
        <is>
          <t>[정적검사]</t>
        </is>
      </c>
      <c r="S56" s="37" t="inlineStr">
        <is>
          <t>공통</t>
        </is>
      </c>
      <c r="T56" s="37" t="inlineStr">
        <is>
          <t>작업자5</t>
        </is>
      </c>
    </row>
    <row r="57">
      <c r="A57" s="39">
        <f>IFERROR(INDEX('시나리오'!$G$5:$G$11,MATCH($T57,'시나리오'!$L$5:$L$11,0)),$T57)</f>
        <v/>
      </c>
      <c r="B57" s="39" t="inlineStr">
        <is>
          <t>RPT-056</t>
        </is>
      </c>
      <c r="C57" s="40" t="inlineStr">
        <is>
          <t>결과지(출력물)</t>
        </is>
      </c>
      <c r="D57" s="40" t="inlineStr">
        <is>
          <t>G. 문항·자소서</t>
        </is>
      </c>
      <c r="E57" s="39" t="inlineStr">
        <is>
          <t>P1</t>
        </is>
      </c>
      <c r="F57" s="40" t="inlineStr">
        <is>
          <t>G8 메트릭 칩</t>
        </is>
      </c>
      <c r="G57" s="40" t="inlineStr">
        <is>
          <t>샘플 자소서가 접수→분석→결과지까지 완료(매니저 화면에 분석값 확인 가능)</t>
        </is>
      </c>
      <c r="H57" s="40" t="inlineStr">
        <is>
          <t>매니저 화면 분석값과 결과지 노출값을 글자·자릿수 단위로 대조</t>
        </is>
      </c>
      <c r="I57" s="40" t="inlineStr">
        <is>
          <t>3단계 분석값(매니저 결과확인 화면)</t>
        </is>
      </c>
      <c r="J57" s="40" t="inlineStr">
        <is>
          <t>.p3-metric-group=detected.metrics(name+등급칩), 개수·순서 일치</t>
        </is>
      </c>
      <c r="K57" s="39" t="inlineStr"/>
      <c r="L57" s="40" t="inlineStr"/>
      <c r="M57" s="40" t="inlineStr"/>
      <c r="N57" s="40" t="inlineStr"/>
      <c r="O57" s="39" t="inlineStr"/>
      <c r="P57" s="39" t="inlineStr"/>
      <c r="Q57" s="39" t="inlineStr"/>
      <c r="R57" s="40" t="inlineStr">
        <is>
          <t>[데이터대조]</t>
        </is>
      </c>
      <c r="S57" s="39" t="inlineStr">
        <is>
          <t>공통</t>
        </is>
      </c>
      <c r="T57" s="39" t="inlineStr">
        <is>
          <t>작업자6</t>
        </is>
      </c>
    </row>
    <row r="58">
      <c r="A58" s="37">
        <f>IFERROR(INDEX('시나리오'!$G$5:$G$11,MATCH($T58,'시나리오'!$L$5:$L$11,0)),$T58)</f>
        <v/>
      </c>
      <c r="B58" s="37" t="inlineStr">
        <is>
          <t>RPT-057</t>
        </is>
      </c>
      <c r="C58" s="38" t="inlineStr">
        <is>
          <t>결과지(출력물)</t>
        </is>
      </c>
      <c r="D58" s="38" t="inlineStr">
        <is>
          <t>G. 문항·자소서</t>
        </is>
      </c>
      <c r="E58" s="37" t="inlineStr">
        <is>
          <t>P1</t>
        </is>
      </c>
      <c r="F58" s="38" t="inlineStr">
        <is>
          <t>G9 역량 태그</t>
        </is>
      </c>
      <c r="G58" s="38" t="inlineStr">
        <is>
          <t>샘플 자소서가 접수→분석→결과지까지 완료(매니저 화면에 분석값 확인 가능)</t>
        </is>
      </c>
      <c r="H58" s="38" t="inlineStr">
        <is>
          <t>매니저 화면 분석값과 결과지 노출값을 글자·자릿수 단위로 대조</t>
        </is>
      </c>
      <c r="I58" s="38" t="inlineStr">
        <is>
          <t>3단계 분석값(매니저 결과확인 화면)</t>
        </is>
      </c>
      <c r="J58" s="38" t="inlineStr">
        <is>
          <t>.p3-skill-tag=detected.factors, 개수·순서 일치(쉼표 구분)</t>
        </is>
      </c>
      <c r="K58" s="37" t="inlineStr"/>
      <c r="L58" s="38" t="inlineStr"/>
      <c r="M58" s="38" t="inlineStr"/>
      <c r="N58" s="38" t="inlineStr"/>
      <c r="O58" s="37" t="inlineStr"/>
      <c r="P58" s="37" t="inlineStr"/>
      <c r="Q58" s="37" t="inlineStr"/>
      <c r="R58" s="38" t="inlineStr">
        <is>
          <t>[데이터대조]</t>
        </is>
      </c>
      <c r="S58" s="37" t="inlineStr">
        <is>
          <t>공통</t>
        </is>
      </c>
      <c r="T58" s="37" t="inlineStr">
        <is>
          <t>작업자7</t>
        </is>
      </c>
    </row>
    <row r="59">
      <c r="A59" s="39">
        <f>IFERROR(INDEX('시나리오'!$G$5:$G$11,MATCH($T59,'시나리오'!$L$5:$L$11,0)),$T59)</f>
        <v/>
      </c>
      <c r="B59" s="39" t="inlineStr">
        <is>
          <t>RPT-058</t>
        </is>
      </c>
      <c r="C59" s="40" t="inlineStr">
        <is>
          <t>결과지(출력물)</t>
        </is>
      </c>
      <c r="D59" s="40" t="inlineStr">
        <is>
          <t>G. 문항·자소서</t>
        </is>
      </c>
      <c r="E59" s="39" t="inlineStr">
        <is>
          <t>P1</t>
        </is>
      </c>
      <c r="F59" s="40" t="inlineStr">
        <is>
          <t>G10 자소서분석 답변 AI 작성률 %</t>
        </is>
      </c>
      <c r="G59" s="40" t="inlineStr">
        <is>
          <t>샘플 자소서가 접수→분석→결과지까지 완료(매니저 화면에 분석값 확인 가능)</t>
        </is>
      </c>
      <c r="H59" s="40" t="inlineStr">
        <is>
          <t>기대결과의 규칙대로 기대값을 재계산한 뒤 결과지와 대조</t>
        </is>
      </c>
      <c r="I59" s="40" t="inlineStr">
        <is>
          <t>3단계 분석값(매니저 결과확인 화면)</t>
        </is>
      </c>
      <c r="J59" s="40" t="inlineStr">
        <is>
          <t>P3 답변 하단 우측에 'AI 작성률 N%' 표기(SDS 4.자소서분석·예 32.12%·0.00%). .p3-ai-val=작성률(%), 색 분기 G3 동일. ※4.2 변경: 탐지/미탐지→% 노출</t>
        </is>
      </c>
      <c r="K59" s="39" t="inlineStr"/>
      <c r="L59" s="40" t="inlineStr"/>
      <c r="M59" s="40" t="inlineStr"/>
      <c r="N59" s="40" t="inlineStr"/>
      <c r="O59" s="39" t="inlineStr"/>
      <c r="P59" s="39" t="inlineStr"/>
      <c r="Q59" s="39" t="inlineStr"/>
      <c r="R59" s="40" t="inlineStr">
        <is>
          <t>[규칙계산]</t>
        </is>
      </c>
      <c r="S59" s="39" t="inlineStr">
        <is>
          <t>공통</t>
        </is>
      </c>
      <c r="T59" s="39" t="inlineStr">
        <is>
          <t>작업자1</t>
        </is>
      </c>
    </row>
    <row r="60">
      <c r="A60" s="37">
        <f>IFERROR(INDEX('시나리오'!$G$5:$G$11,MATCH($T60,'시나리오'!$L$5:$L$11,0)),$T60)</f>
        <v/>
      </c>
      <c r="B60" s="37" t="inlineStr">
        <is>
          <t>RPT-059</t>
        </is>
      </c>
      <c r="C60" s="38" t="inlineStr">
        <is>
          <t>결과지(출력물)</t>
        </is>
      </c>
      <c r="D60" s="38" t="inlineStr">
        <is>
          <t>H. 응답완성도</t>
        </is>
      </c>
      <c r="E60" s="37" t="inlineStr">
        <is>
          <t>P2</t>
        </is>
      </c>
      <c r="F60" s="38" t="inlineStr">
        <is>
          <t>H1 3박스 존재</t>
        </is>
      </c>
      <c r="G60" s="38" t="inlineStr">
        <is>
          <t>샘플 자소서가 접수→분석→결과지까지 완료(매니저 화면에 분석값 확인 가능)</t>
        </is>
      </c>
      <c r="H60" s="38" t="inlineStr">
        <is>
          <t>HTML 텍스트·구조를 regex/DOM 카운트로 검사</t>
        </is>
      </c>
      <c r="I60" s="38" t="inlineStr">
        <is>
          <t>-</t>
        </is>
      </c>
      <c r="J60" s="38" t="inlineStr">
        <is>
          <t>답변적합도·구체성·본인소개 순서로 .side-box 3개</t>
        </is>
      </c>
      <c r="K60" s="37" t="inlineStr"/>
      <c r="L60" s="38" t="inlineStr"/>
      <c r="M60" s="38" t="inlineStr"/>
      <c r="N60" s="38" t="inlineStr"/>
      <c r="O60" s="37" t="inlineStr"/>
      <c r="P60" s="37" t="inlineStr"/>
      <c r="Q60" s="37" t="inlineStr"/>
      <c r="R60" s="38" t="inlineStr">
        <is>
          <t>[정적검사]</t>
        </is>
      </c>
      <c r="S60" s="37" t="inlineStr">
        <is>
          <t>공통</t>
        </is>
      </c>
      <c r="T60" s="37" t="inlineStr">
        <is>
          <t>작업자2</t>
        </is>
      </c>
    </row>
    <row r="61">
      <c r="A61" s="39">
        <f>IFERROR(INDEX('시나리오'!$G$5:$G$11,MATCH($T61,'시나리오'!$L$5:$L$11,0)),$T61)</f>
        <v/>
      </c>
      <c r="B61" s="39" t="inlineStr">
        <is>
          <t>RPT-060</t>
        </is>
      </c>
      <c r="C61" s="40" t="inlineStr">
        <is>
          <t>결과지(출력물)</t>
        </is>
      </c>
      <c r="D61" s="40" t="inlineStr">
        <is>
          <t>H. 응답완성도</t>
        </is>
      </c>
      <c r="E61" s="39" t="inlineStr">
        <is>
          <t>P1</t>
        </is>
      </c>
      <c r="F61" s="40" t="inlineStr">
        <is>
          <t>H2 점수=scores</t>
        </is>
      </c>
      <c r="G61" s="40" t="inlineStr">
        <is>
          <t>샘플 자소서가 접수→분석→결과지까지 완료(매니저 화면에 분석값 확인 가능)</t>
        </is>
      </c>
      <c r="H61" s="40" t="inlineStr">
        <is>
          <t>매니저 화면 분석값과 결과지 노출값을 글자·자릿수 단위로 대조</t>
        </is>
      </c>
      <c r="I61" s="40" t="inlineStr">
        <is>
          <t>3단계 분석값(매니저 결과확인 화면)</t>
        </is>
      </c>
      <c r="J61" s="40" t="inlineStr">
        <is>
          <t>.side-score=scores.*(2자리)</t>
        </is>
      </c>
      <c r="K61" s="39" t="inlineStr"/>
      <c r="L61" s="40" t="inlineStr"/>
      <c r="M61" s="40" t="inlineStr"/>
      <c r="N61" s="40" t="inlineStr"/>
      <c r="O61" s="39" t="inlineStr"/>
      <c r="P61" s="39" t="inlineStr"/>
      <c r="Q61" s="39" t="inlineStr"/>
      <c r="R61" s="40" t="inlineStr">
        <is>
          <t>[데이터대조]</t>
        </is>
      </c>
      <c r="S61" s="39" t="inlineStr">
        <is>
          <t>공통</t>
        </is>
      </c>
      <c r="T61" s="39" t="inlineStr">
        <is>
          <t>작업자3</t>
        </is>
      </c>
    </row>
    <row r="62">
      <c r="A62" s="37">
        <f>IFERROR(INDEX('시나리오'!$G$5:$G$11,MATCH($T62,'시나리오'!$L$5:$L$11,0)),$T62)</f>
        <v/>
      </c>
      <c r="B62" s="37" t="inlineStr">
        <is>
          <t>RPT-061</t>
        </is>
      </c>
      <c r="C62" s="38" t="inlineStr">
        <is>
          <t>결과지(출력물)</t>
        </is>
      </c>
      <c r="D62" s="38" t="inlineStr">
        <is>
          <t>H. 응답완성도</t>
        </is>
      </c>
      <c r="E62" s="37" t="inlineStr">
        <is>
          <t>P2</t>
        </is>
      </c>
      <c r="F62" s="38" t="inlineStr">
        <is>
          <t>H3 코멘트=short_text</t>
        </is>
      </c>
      <c r="G62" s="38" t="inlineStr">
        <is>
          <t>샘플 자소서가 접수→분석→결과지까지 완료(매니저 화면에 분석값 확인 가능)</t>
        </is>
      </c>
      <c r="H62" s="38" t="inlineStr">
        <is>
          <t>매니저 화면 분석값과 결과지 노출값을 글자·자릿수 단위로 대조</t>
        </is>
      </c>
      <c r="I62" s="38" t="inlineStr">
        <is>
          <t>3단계 분석값(매니저 결과확인 화면)</t>
        </is>
      </c>
      <c r="J62" s="38" t="inlineStr">
        <is>
          <t>.side-cmt=completeness.*.short_text 문구 일치</t>
        </is>
      </c>
      <c r="K62" s="37" t="inlineStr"/>
      <c r="L62" s="38" t="inlineStr"/>
      <c r="M62" s="38" t="inlineStr"/>
      <c r="N62" s="38" t="inlineStr"/>
      <c r="O62" s="37" t="inlineStr"/>
      <c r="P62" s="37" t="inlineStr"/>
      <c r="Q62" s="37" t="inlineStr"/>
      <c r="R62" s="38" t="inlineStr">
        <is>
          <t>[데이터대조]</t>
        </is>
      </c>
      <c r="S62" s="37" t="inlineStr">
        <is>
          <t>공통</t>
        </is>
      </c>
      <c r="T62" s="37" t="inlineStr">
        <is>
          <t>작업자4</t>
        </is>
      </c>
    </row>
    <row r="63">
      <c r="A63" s="39">
        <f>IFERROR(INDEX('시나리오'!$G$5:$G$11,MATCH($T63,'시나리오'!$L$5:$L$11,0)),$T63)</f>
        <v/>
      </c>
      <c r="B63" s="39" t="inlineStr">
        <is>
          <t>RPT-062</t>
        </is>
      </c>
      <c r="C63" s="40" t="inlineStr">
        <is>
          <t>결과지(출력물)</t>
        </is>
      </c>
      <c r="D63" s="40" t="inlineStr">
        <is>
          <t>H. 응답완성도</t>
        </is>
      </c>
      <c r="E63" s="39" t="inlineStr">
        <is>
          <t>P1</t>
        </is>
      </c>
      <c r="F63" s="40" t="inlineStr">
        <is>
          <t>H4 주의 배지 분기</t>
        </is>
      </c>
      <c r="G63" s="40" t="inlineStr">
        <is>
          <t>샘플 자소서가 접수→분석→결과지까지 완료(매니저 화면에 분석값 확인 가능)</t>
        </is>
      </c>
      <c r="H63" s="40" t="inlineStr">
        <is>
          <t>기대결과의 규칙대로 기대값을 재계산한 뒤 결과지와 대조</t>
        </is>
      </c>
      <c r="I63" s="40" t="inlineStr">
        <is>
          <t>3단계 분석값(매니저 결과확인 화면)</t>
        </is>
      </c>
      <c r="J63" s="40" t="inlineStr">
        <is>
          <t>점수&lt;40 항목에만 .warn-badge(주의) 출력, ≥40은 미출력</t>
        </is>
      </c>
      <c r="K63" s="39" t="inlineStr"/>
      <c r="L63" s="40" t="inlineStr"/>
      <c r="M63" s="40" t="inlineStr"/>
      <c r="N63" s="40" t="inlineStr"/>
      <c r="O63" s="39" t="inlineStr"/>
      <c r="P63" s="39" t="inlineStr"/>
      <c r="Q63" s="39" t="inlineStr"/>
      <c r="R63" s="40" t="inlineStr">
        <is>
          <t>[규칙계산]</t>
        </is>
      </c>
      <c r="S63" s="39" t="inlineStr">
        <is>
          <t>공통</t>
        </is>
      </c>
      <c r="T63" s="39" t="inlineStr">
        <is>
          <t>작업자5</t>
        </is>
      </c>
    </row>
    <row r="64">
      <c r="A64" s="37">
        <f>IFERROR(INDEX('시나리오'!$G$5:$G$11,MATCH($T64,'시나리오'!$L$5:$L$11,0)),$T64)</f>
        <v/>
      </c>
      <c r="B64" s="37" t="inlineStr">
        <is>
          <t>RPT-063</t>
        </is>
      </c>
      <c r="C64" s="38" t="inlineStr">
        <is>
          <t>결과지(출력물)</t>
        </is>
      </c>
      <c r="D64" s="38" t="inlineStr">
        <is>
          <t>I. 레이더</t>
        </is>
      </c>
      <c r="E64" s="37" t="inlineStr">
        <is>
          <t>P2</t>
        </is>
      </c>
      <c r="F64" s="38" t="inlineStr">
        <is>
          <t>I1 축 라벨 6개·순서</t>
        </is>
      </c>
      <c r="G64" s="38" t="inlineStr">
        <is>
          <t>샘플 자소서가 접수→분석→결과지까지 완료(매니저 화면에 분석값 확인 가능)</t>
        </is>
      </c>
      <c r="H64" s="38" t="inlineStr">
        <is>
          <t>기대결과의 규칙대로 기대값을 재계산한 뒤 결과지와 대조</t>
        </is>
      </c>
      <c r="I64" s="38" t="inlineStr">
        <is>
          <t>3단계 분석값(매니저 결과확인 화면)</t>
        </is>
      </c>
      <c r="J64" s="38" t="inlineStr">
        <is>
          <t>RADAR_LABELS=직무적합도/조직적합도/지원동기/답변완성도/구체성/자기소개 순서, 각 라벨에 점수(2자리) 동반</t>
        </is>
      </c>
      <c r="K64" s="37" t="inlineStr"/>
      <c r="L64" s="38" t="inlineStr"/>
      <c r="M64" s="38" t="inlineStr"/>
      <c r="N64" s="38" t="inlineStr"/>
      <c r="O64" s="37" t="inlineStr"/>
      <c r="P64" s="37" t="inlineStr"/>
      <c r="Q64" s="37" t="inlineStr"/>
      <c r="R64" s="38" t="inlineStr">
        <is>
          <t>[규칙계산]</t>
        </is>
      </c>
      <c r="S64" s="37" t="inlineStr">
        <is>
          <t>공통</t>
        </is>
      </c>
      <c r="T64" s="37" t="inlineStr">
        <is>
          <t>작업자6</t>
        </is>
      </c>
    </row>
    <row r="65">
      <c r="A65" s="39">
        <f>IFERROR(INDEX('시나리오'!$G$5:$G$11,MATCH($T65,'시나리오'!$L$5:$L$11,0)),$T65)</f>
        <v/>
      </c>
      <c r="B65" s="39" t="inlineStr">
        <is>
          <t>RPT-064</t>
        </is>
      </c>
      <c r="C65" s="40" t="inlineStr">
        <is>
          <t>결과지(출력물)</t>
        </is>
      </c>
      <c r="D65" s="40" t="inlineStr">
        <is>
          <t>I. 레이더</t>
        </is>
      </c>
      <c r="E65" s="39" t="inlineStr">
        <is>
          <t>P2</t>
        </is>
      </c>
      <c r="F65" s="40" t="inlineStr">
        <is>
          <t>I2 지원자 데이터</t>
        </is>
      </c>
      <c r="G65" s="40" t="inlineStr">
        <is>
          <t>샘플 자소서가 접수→분석→결과지까지 완료(매니저 화면에 분석값 확인 가능)</t>
        </is>
      </c>
      <c r="H65" s="40" t="inlineStr">
        <is>
          <t>기대결과의 규칙대로 기대값을 재계산한 뒤 결과지와 대조</t>
        </is>
      </c>
      <c r="I65" s="40" t="inlineStr">
        <is>
          <t>3단계 분석값(매니저 결과확인 화면)</t>
        </is>
      </c>
      <c r="J65" s="40" t="inlineStr">
        <is>
          <t>RADAR_USER=[직무적합도,조직적합도,지원동기,답변적합도,구체성,본인소개] 점수(2자리)</t>
        </is>
      </c>
      <c r="K65" s="39" t="inlineStr"/>
      <c r="L65" s="40" t="inlineStr"/>
      <c r="M65" s="40" t="inlineStr"/>
      <c r="N65" s="40" t="inlineStr"/>
      <c r="O65" s="39" t="inlineStr"/>
      <c r="P65" s="39" t="inlineStr"/>
      <c r="Q65" s="39" t="inlineStr"/>
      <c r="R65" s="40" t="inlineStr">
        <is>
          <t>[규칙계산]</t>
        </is>
      </c>
      <c r="S65" s="39" t="inlineStr">
        <is>
          <t>공통</t>
        </is>
      </c>
      <c r="T65" s="39" t="inlineStr">
        <is>
          <t>작업자7</t>
        </is>
      </c>
    </row>
    <row r="66">
      <c r="A66" s="37">
        <f>IFERROR(INDEX('시나리오'!$G$5:$G$11,MATCH($T66,'시나리오'!$L$5:$L$11,0)),$T66)</f>
        <v/>
      </c>
      <c r="B66" s="37" t="inlineStr">
        <is>
          <t>RPT-065</t>
        </is>
      </c>
      <c r="C66" s="38" t="inlineStr">
        <is>
          <t>결과지(출력물)</t>
        </is>
      </c>
      <c r="D66" s="38" t="inlineStr">
        <is>
          <t>I. 레이더</t>
        </is>
      </c>
      <c r="E66" s="37" t="inlineStr">
        <is>
          <t>P2</t>
        </is>
      </c>
      <c r="F66" s="38" t="inlineStr">
        <is>
          <t>I3 평균 데이터</t>
        </is>
      </c>
      <c r="G66" s="38" t="inlineStr">
        <is>
          <t>샘플 자소서가 접수→분석→결과지까지 완료(매니저 화면에 분석값 확인 가능)</t>
        </is>
      </c>
      <c r="H66" s="38" t="inlineStr">
        <is>
          <t>매니저 화면 분석값과 결과지 노출값을 글자·자릿수 단위로 대조</t>
        </is>
      </c>
      <c r="I66" s="38" t="inlineStr">
        <is>
          <t>3단계 분석값(매니저 결과확인 화면)</t>
        </is>
      </c>
      <c r="J66" s="38" t="inlineStr">
        <is>
          <t>RADAR_AVG=benchmarks.radar_avg 배열(원본값 그대로)</t>
        </is>
      </c>
      <c r="K66" s="37" t="inlineStr"/>
      <c r="L66" s="38" t="inlineStr"/>
      <c r="M66" s="38" t="inlineStr"/>
      <c r="N66" s="38" t="inlineStr"/>
      <c r="O66" s="37" t="inlineStr"/>
      <c r="P66" s="37" t="inlineStr"/>
      <c r="Q66" s="37" t="inlineStr"/>
      <c r="R66" s="38" t="inlineStr">
        <is>
          <t>[데이터대조]</t>
        </is>
      </c>
      <c r="S66" s="37" t="inlineStr">
        <is>
          <t>공통</t>
        </is>
      </c>
      <c r="T66" s="37" t="inlineStr">
        <is>
          <t>작업자1</t>
        </is>
      </c>
    </row>
    <row r="67">
      <c r="A67" s="39">
        <f>IFERROR(INDEX('시나리오'!$G$5:$G$11,MATCH($T67,'시나리오'!$L$5:$L$11,0)),$T67)</f>
        <v/>
      </c>
      <c r="B67" s="39" t="inlineStr">
        <is>
          <t>RPT-066</t>
        </is>
      </c>
      <c r="C67" s="40" t="inlineStr">
        <is>
          <t>결과지(출력물)</t>
        </is>
      </c>
      <c r="D67" s="40" t="inlineStr">
        <is>
          <t>I. 레이더</t>
        </is>
      </c>
      <c r="E67" s="39" t="inlineStr">
        <is>
          <t>P2</t>
        </is>
      </c>
      <c r="F67" s="40" t="inlineStr">
        <is>
          <t>I4 차트 렌더</t>
        </is>
      </c>
      <c r="G67" s="40" t="inlineStr">
        <is>
          <t>샘플 자소서가 접수→분석→결과지까지 완료(매니저 화면에 분석값 확인 가능)</t>
        </is>
      </c>
      <c r="H67" s="40" t="inlineStr">
        <is>
          <t>헤드리스 브라우저로 렌더 후 크기·bbox·overflow 측정</t>
        </is>
      </c>
      <c r="I67" s="40" t="inlineStr">
        <is>
          <t>-</t>
        </is>
      </c>
      <c r="J67" s="40" t="inlineStr">
        <is>
          <t>&lt;canvas id='radarChart'&gt;에 Chart.js 렌더, JS 콘솔 에러 없음</t>
        </is>
      </c>
      <c r="K67" s="39" t="inlineStr"/>
      <c r="L67" s="40" t="inlineStr"/>
      <c r="M67" s="40" t="inlineStr"/>
      <c r="N67" s="40" t="inlineStr"/>
      <c r="O67" s="39" t="inlineStr"/>
      <c r="P67" s="39" t="inlineStr"/>
      <c r="Q67" s="39" t="inlineStr"/>
      <c r="R67" s="40" t="inlineStr">
        <is>
          <t>[렌더측정]</t>
        </is>
      </c>
      <c r="S67" s="39" t="inlineStr">
        <is>
          <t>공통</t>
        </is>
      </c>
      <c r="T67" s="39" t="inlineStr">
        <is>
          <t>작업자2</t>
        </is>
      </c>
    </row>
    <row r="68">
      <c r="A68" s="37">
        <f>IFERROR(INDEX('시나리오'!$G$5:$G$11,MATCH($T68,'시나리오'!$L$5:$L$11,0)),$T68)</f>
        <v/>
      </c>
      <c r="B68" s="37" t="inlineStr">
        <is>
          <t>RPT-067</t>
        </is>
      </c>
      <c r="C68" s="38" t="inlineStr">
        <is>
          <t>결과지(출력물)</t>
        </is>
      </c>
      <c r="D68" s="38" t="inlineStr">
        <is>
          <t>J. BP 평가 상세</t>
        </is>
      </c>
      <c r="E68" s="37" t="inlineStr">
        <is>
          <t>P1</t>
        </is>
      </c>
      <c r="F68" s="38" t="inlineStr">
        <is>
          <t>J1 3개 대분류</t>
        </is>
      </c>
      <c r="G68" s="38" t="inlineStr">
        <is>
          <t>샘플 자소서가 접수→분석→결과지까지 완료(매니저 화면에 분석값 확인 가능)</t>
        </is>
      </c>
      <c r="H68" s="38" t="inlineStr">
        <is>
          <t>매니저 화면 분석값과 결과지 노출값을 글자·자릿수 단위로 대조</t>
        </is>
      </c>
      <c r="I68" s="38" t="inlineStr">
        <is>
          <t>3단계 분석값(매니저 결과확인 화면)</t>
        </is>
      </c>
      <c r="J68" s="38" t="inlineStr">
        <is>
          <t>dt-cat 직무적합도·조직적합도·지원동기, 각 점수+'점'</t>
        </is>
      </c>
      <c r="K68" s="37" t="inlineStr"/>
      <c r="L68" s="38" t="inlineStr"/>
      <c r="M68" s="38" t="inlineStr"/>
      <c r="N68" s="38" t="inlineStr"/>
      <c r="O68" s="37" t="inlineStr"/>
      <c r="P68" s="37" t="inlineStr"/>
      <c r="Q68" s="37" t="inlineStr"/>
      <c r="R68" s="38" t="inlineStr">
        <is>
          <t>[데이터대조]</t>
        </is>
      </c>
      <c r="S68" s="37" t="inlineStr">
        <is>
          <t>공통</t>
        </is>
      </c>
      <c r="T68" s="37" t="inlineStr">
        <is>
          <t>작업자3</t>
        </is>
      </c>
    </row>
    <row r="69">
      <c r="A69" s="39">
        <f>IFERROR(INDEX('시나리오'!$G$5:$G$11,MATCH($T69,'시나리오'!$L$5:$L$11,0)),$T69)</f>
        <v/>
      </c>
      <c r="B69" s="39" t="inlineStr">
        <is>
          <t>RPT-068</t>
        </is>
      </c>
      <c r="C69" s="40" t="inlineStr">
        <is>
          <t>결과지(출력물)</t>
        </is>
      </c>
      <c r="D69" s="40" t="inlineStr">
        <is>
          <t>J. BP 평가 상세</t>
        </is>
      </c>
      <c r="E69" s="39" t="inlineStr">
        <is>
          <t>P1</t>
        </is>
      </c>
      <c r="F69" s="40" t="inlineStr">
        <is>
          <t>J2 항목별 코멘트</t>
        </is>
      </c>
      <c r="G69" s="40" t="inlineStr">
        <is>
          <t>샘플 자소서가 접수→분석→결과지까지 완료(매니저 화면에 분석값 확인 가능)</t>
        </is>
      </c>
      <c r="H69" s="40" t="inlineStr">
        <is>
          <t>기대결과의 규칙대로 기대값을 재계산한 뒤 결과지와 대조</t>
        </is>
      </c>
      <c r="I69" s="40" t="inlineStr">
        <is>
          <t>3단계 분석값(매니저 결과확인 화면)</t>
        </is>
      </c>
      <c r="J69" s="40" t="inlineStr">
        <is>
          <t>.dt-comment=항목 summary. summary 비면 '해당 역량을 확인할 수 없음' 출력</t>
        </is>
      </c>
      <c r="K69" s="39" t="inlineStr"/>
      <c r="L69" s="40" t="inlineStr"/>
      <c r="M69" s="40" t="inlineStr"/>
      <c r="N69" s="40" t="inlineStr"/>
      <c r="O69" s="39" t="inlineStr"/>
      <c r="P69" s="39" t="inlineStr"/>
      <c r="Q69" s="39" t="inlineStr"/>
      <c r="R69" s="40" t="inlineStr">
        <is>
          <t>[규칙계산]</t>
        </is>
      </c>
      <c r="S69" s="39" t="inlineStr">
        <is>
          <t>공통</t>
        </is>
      </c>
      <c r="T69" s="39" t="inlineStr">
        <is>
          <t>작업자4</t>
        </is>
      </c>
    </row>
    <row r="70">
      <c r="A70" s="37">
        <f>IFERROR(INDEX('시나리오'!$G$5:$G$11,MATCH($T70,'시나리오'!$L$5:$L$11,0)),$T70)</f>
        <v/>
      </c>
      <c r="B70" s="37" t="inlineStr">
        <is>
          <t>RPT-069</t>
        </is>
      </c>
      <c r="C70" s="38" t="inlineStr">
        <is>
          <t>결과지(출력물)</t>
        </is>
      </c>
      <c r="D70" s="38" t="inlineStr">
        <is>
          <t>J. BP 평가 상세</t>
        </is>
      </c>
      <c r="E70" s="37" t="inlineStr">
        <is>
          <t>P1</t>
        </is>
      </c>
      <c r="F70" s="38" t="inlineStr">
        <is>
          <t>J3 근거문장=evidence_ids</t>
        </is>
      </c>
      <c r="G70" s="38" t="inlineStr">
        <is>
          <t>샘플 자소서가 접수→분석→결과지까지 완료(매니저 화면에 분석값 확인 가능)</t>
        </is>
      </c>
      <c r="H70" s="38" t="inlineStr">
        <is>
          <t>매니저 화면 분석값과 결과지 노출값을 글자·자릿수 단위로 대조</t>
        </is>
      </c>
      <c r="I70" s="38" t="inlineStr">
        <is>
          <t>3단계 분석값(매니저 결과확인 화면)</t>
        </is>
      </c>
      <c r="J70" s="38" t="inlineStr">
        <is>
          <t>.dt-list li가 evidence_sentences[id] 문장과 일치(id 순서대로)</t>
        </is>
      </c>
      <c r="K70" s="37" t="inlineStr"/>
      <c r="L70" s="38" t="inlineStr"/>
      <c r="M70" s="38" t="inlineStr"/>
      <c r="N70" s="38" t="inlineStr"/>
      <c r="O70" s="37" t="inlineStr"/>
      <c r="P70" s="37" t="inlineStr"/>
      <c r="Q70" s="37" t="inlineStr"/>
      <c r="R70" s="38" t="inlineStr">
        <is>
          <t>[데이터대조]</t>
        </is>
      </c>
      <c r="S70" s="37" t="inlineStr">
        <is>
          <t>공통</t>
        </is>
      </c>
      <c r="T70" s="37" t="inlineStr">
        <is>
          <t>작업자5</t>
        </is>
      </c>
    </row>
    <row r="71">
      <c r="A71" s="39">
        <f>IFERROR(INDEX('시나리오'!$G$5:$G$11,MATCH($T71,'시나리오'!$L$5:$L$11,0)),$T71)</f>
        <v/>
      </c>
      <c r="B71" s="39" t="inlineStr">
        <is>
          <t>RPT-070</t>
        </is>
      </c>
      <c r="C71" s="40" t="inlineStr">
        <is>
          <t>결과지(출력물)</t>
        </is>
      </c>
      <c r="D71" s="40" t="inlineStr">
        <is>
          <t>J. BP 평가 상세</t>
        </is>
      </c>
      <c r="E71" s="39" t="inlineStr">
        <is>
          <t>P1</t>
        </is>
      </c>
      <c r="F71" s="40" t="inlineStr">
        <is>
          <t>J4 근거 없음 처리</t>
        </is>
      </c>
      <c r="G71" s="40" t="inlineStr">
        <is>
          <t>샘플 자소서가 접수→분석→결과지까지 완료(매니저 화면에 분석값 확인 가능)</t>
        </is>
      </c>
      <c r="H71" s="40" t="inlineStr">
        <is>
          <t>기대결과의 규칙대로 기대값을 재계산한 뒤 결과지와 대조</t>
        </is>
      </c>
      <c r="I71" s="40" t="inlineStr">
        <is>
          <t>3단계 분석값(매니저 결과확인 화면)</t>
        </is>
      </c>
      <c r="J71" s="40" t="inlineStr">
        <is>
          <t>evidence_ids 빈 배열이면 .dt-empty '확인된 자기소개서 근거 문장이 없습니다.' 출력</t>
        </is>
      </c>
      <c r="K71" s="39" t="inlineStr"/>
      <c r="L71" s="40" t="inlineStr"/>
      <c r="M71" s="40" t="inlineStr"/>
      <c r="N71" s="40" t="inlineStr"/>
      <c r="O71" s="39" t="inlineStr"/>
      <c r="P71" s="39" t="inlineStr"/>
      <c r="Q71" s="39" t="inlineStr"/>
      <c r="R71" s="40" t="inlineStr">
        <is>
          <t>[규칙계산]</t>
        </is>
      </c>
      <c r="S71" s="39" t="inlineStr">
        <is>
          <t>공통</t>
        </is>
      </c>
      <c r="T71" s="39" t="inlineStr">
        <is>
          <t>작업자6</t>
        </is>
      </c>
    </row>
    <row r="72">
      <c r="A72" s="37">
        <f>IFERROR(INDEX('시나리오'!$G$5:$G$11,MATCH($T72,'시나리오'!$L$5:$L$11,0)),$T72)</f>
        <v/>
      </c>
      <c r="B72" s="37" t="inlineStr">
        <is>
          <t>RPT-071</t>
        </is>
      </c>
      <c r="C72" s="38" t="inlineStr">
        <is>
          <t>결과지(출력물)</t>
        </is>
      </c>
      <c r="D72" s="38" t="inlineStr">
        <is>
          <t>J. BP 평가 상세</t>
        </is>
      </c>
      <c r="E72" s="37" t="inlineStr">
        <is>
          <t>P1</t>
        </is>
      </c>
      <c r="F72" s="38" t="inlineStr">
        <is>
          <t>J5 등급 배지</t>
        </is>
      </c>
      <c r="G72" s="38" t="inlineStr">
        <is>
          <t>샘플 자소서가 접수→분석→결과지까지 완료(매니저 화면에 분석값 확인 가능)</t>
        </is>
      </c>
      <c r="H72" s="38" t="inlineStr">
        <is>
          <t>매니저 화면 분석값과 결과지 노출값을 글자·자릿수 단위로 대조</t>
        </is>
      </c>
      <c r="I72" s="38" t="inlineStr">
        <is>
          <t>3단계 분석값(매니저 결과확인 화면)</t>
        </is>
      </c>
      <c r="J72" s="38" t="inlineStr">
        <is>
          <t>.dt-badge=항목 grade 매핑(상/중/하/-), subcat-header도 배지 표시</t>
        </is>
      </c>
      <c r="K72" s="37" t="inlineStr"/>
      <c r="L72" s="38" t="inlineStr"/>
      <c r="M72" s="38" t="inlineStr"/>
      <c r="N72" s="38" t="inlineStr"/>
      <c r="O72" s="37" t="inlineStr"/>
      <c r="P72" s="37" t="inlineStr"/>
      <c r="Q72" s="37" t="inlineStr"/>
      <c r="R72" s="38" t="inlineStr">
        <is>
          <t>[데이터대조]</t>
        </is>
      </c>
      <c r="S72" s="37" t="inlineStr">
        <is>
          <t>공통</t>
        </is>
      </c>
      <c r="T72" s="37" t="inlineStr">
        <is>
          <t>작업자7</t>
        </is>
      </c>
    </row>
    <row r="73">
      <c r="A73" s="39">
        <f>IFERROR(INDEX('시나리오'!$G$5:$G$11,MATCH($T73,'시나리오'!$L$5:$L$11,0)),$T73)</f>
        <v/>
      </c>
      <c r="B73" s="39" t="inlineStr">
        <is>
          <t>RPT-072</t>
        </is>
      </c>
      <c r="C73" s="40" t="inlineStr">
        <is>
          <t>결과지(출력물)</t>
        </is>
      </c>
      <c r="D73" s="40" t="inlineStr">
        <is>
          <t>J. BP 평가 상세</t>
        </is>
      </c>
      <c r="E73" s="39" t="inlineStr">
        <is>
          <t>P2</t>
        </is>
      </c>
      <c r="F73" s="40" t="inlineStr">
        <is>
          <t>J6 factor/sub 구분</t>
        </is>
      </c>
      <c r="G73" s="40" t="inlineStr">
        <is>
          <t>샘플 자소서가 접수→분석→결과지까지 완료(매니저 화면에 분석값 확인 가능)</t>
        </is>
      </c>
      <c r="H73" s="40" t="inlineStr">
        <is>
          <t>기대결과의 규칙대로 기대값을 재계산한 뒤 결과지와 대조</t>
        </is>
      </c>
      <c r="I73" s="40" t="inlineStr">
        <is>
          <t>3단계 분석값(매니저 결과확인 화면)</t>
        </is>
      </c>
      <c r="J73" s="40" t="inlineStr">
        <is>
          <t>level=factor는 .nm, 하위(sub)는 .dt-tag</t>
        </is>
      </c>
      <c r="K73" s="39" t="inlineStr"/>
      <c r="L73" s="40" t="inlineStr"/>
      <c r="M73" s="40" t="inlineStr"/>
      <c r="N73" s="40" t="inlineStr"/>
      <c r="O73" s="39" t="inlineStr"/>
      <c r="P73" s="39" t="inlineStr"/>
      <c r="Q73" s="39" t="inlineStr"/>
      <c r="R73" s="40" t="inlineStr">
        <is>
          <t>[규칙계산]</t>
        </is>
      </c>
      <c r="S73" s="39" t="inlineStr">
        <is>
          <t>공통</t>
        </is>
      </c>
      <c r="T73" s="39" t="inlineStr">
        <is>
          <t>작업자1</t>
        </is>
      </c>
    </row>
    <row r="74">
      <c r="A74" s="37">
        <f>IFERROR(INDEX('시나리오'!$G$5:$G$11,MATCH($T74,'시나리오'!$L$5:$L$11,0)),$T74)</f>
        <v/>
      </c>
      <c r="B74" s="37" t="inlineStr">
        <is>
          <t>RPT-073</t>
        </is>
      </c>
      <c r="C74" s="38" t="inlineStr">
        <is>
          <t>결과지(출력물)</t>
        </is>
      </c>
      <c r="D74" s="38" t="inlineStr">
        <is>
          <t>J. BP 평가 상세</t>
        </is>
      </c>
      <c r="E74" s="37" t="inlineStr">
        <is>
          <t>P2</t>
        </is>
      </c>
      <c r="F74" s="38" t="inlineStr">
        <is>
          <t>J7 완성도 3대분류+코멘트행</t>
        </is>
      </c>
      <c r="G74" s="38" t="inlineStr">
        <is>
          <t>샘플 자소서가 접수→분석→결과지까지 완료(매니저 화면에 분석값 확인 가능)</t>
        </is>
      </c>
      <c r="H74" s="38" t="inlineStr">
        <is>
          <t>HTML 텍스트·구조를 regex/DOM 카운트로 검사</t>
        </is>
      </c>
      <c r="I74" s="38" t="inlineStr">
        <is>
          <t>-</t>
        </is>
      </c>
      <c r="J74" s="38" t="inlineStr">
        <is>
          <t>dt-cat(점수)+dt-commentrow 구성</t>
        </is>
      </c>
      <c r="K74" s="37" t="inlineStr"/>
      <c r="L74" s="38" t="inlineStr"/>
      <c r="M74" s="38" t="inlineStr"/>
      <c r="N74" s="38" t="inlineStr"/>
      <c r="O74" s="37" t="inlineStr"/>
      <c r="P74" s="37" t="inlineStr"/>
      <c r="Q74" s="37" t="inlineStr"/>
      <c r="R74" s="38" t="inlineStr">
        <is>
          <t>[정적검사]</t>
        </is>
      </c>
      <c r="S74" s="37" t="inlineStr">
        <is>
          <t>공통</t>
        </is>
      </c>
      <c r="T74" s="37" t="inlineStr">
        <is>
          <t>작업자2</t>
        </is>
      </c>
    </row>
    <row r="75">
      <c r="A75" s="39">
        <f>IFERROR(INDEX('시나리오'!$G$5:$G$11,MATCH($T75,'시나리오'!$L$5:$L$11,0)),$T75)</f>
        <v/>
      </c>
      <c r="B75" s="39" t="inlineStr">
        <is>
          <t>RPT-074</t>
        </is>
      </c>
      <c r="C75" s="40" t="inlineStr">
        <is>
          <t>결과지(출력물)</t>
        </is>
      </c>
      <c r="D75" s="40" t="inlineStr">
        <is>
          <t>J. BP 평가 상세</t>
        </is>
      </c>
      <c r="E75" s="39" t="inlineStr">
        <is>
          <t>P1</t>
        </is>
      </c>
      <c r="F75" s="40" t="inlineStr">
        <is>
          <t>J8 룰베이스 문장 구간 일치</t>
        </is>
      </c>
      <c r="G75" s="40" t="inlineStr">
        <is>
          <t>샘플 자소서가 접수→분석→결과지까지 완료(매니저 화면에 분석값 확인 가능)</t>
        </is>
      </c>
      <c r="H75" s="40" t="inlineStr">
        <is>
          <t>기대결과의 규칙대로 기대값을 재계산한 뒤 결과지와 대조</t>
        </is>
      </c>
      <c r="I75" s="40" t="inlineStr">
        <is>
          <t>3단계 분석값(매니저 결과확인 화면)</t>
        </is>
      </c>
      <c r="J75" s="40" t="inlineStr">
        <is>
          <t>rule_text(metric,score) 재계산과 .dt-commentrow 글자 단위 일치(경계값 79/80, 59/60 주의)</t>
        </is>
      </c>
      <c r="K75" s="39" t="inlineStr"/>
      <c r="L75" s="40" t="inlineStr"/>
      <c r="M75" s="40" t="inlineStr"/>
      <c r="N75" s="40" t="inlineStr"/>
      <c r="O75" s="39" t="inlineStr"/>
      <c r="P75" s="39" t="inlineStr"/>
      <c r="Q75" s="39" t="inlineStr"/>
      <c r="R75" s="40" t="inlineStr">
        <is>
          <t>[규칙계산]</t>
        </is>
      </c>
      <c r="S75" s="39" t="inlineStr">
        <is>
          <t>공통</t>
        </is>
      </c>
      <c r="T75" s="39" t="inlineStr">
        <is>
          <t>작업자3</t>
        </is>
      </c>
    </row>
    <row r="76">
      <c r="A76" s="37">
        <f>IFERROR(INDEX('시나리오'!$G$5:$G$11,MATCH($T76,'시나리오'!$L$5:$L$11,0)),$T76)</f>
        <v/>
      </c>
      <c r="B76" s="37" t="inlineStr">
        <is>
          <t>RPT-075</t>
        </is>
      </c>
      <c r="C76" s="38" t="inlineStr">
        <is>
          <t>결과지(출력물)</t>
        </is>
      </c>
      <c r="D76" s="38" t="inlineStr">
        <is>
          <t>J. BP 평가 상세</t>
        </is>
      </c>
      <c r="E76" s="37" t="inlineStr">
        <is>
          <t>P2</t>
        </is>
      </c>
      <c r="F76" s="38" t="inlineStr">
        <is>
          <t>J9 하드스킬 대분류</t>
        </is>
      </c>
      <c r="G76" s="38" t="inlineStr">
        <is>
          <t>샘플 자소서가 접수→분석→결과지까지 완료(매니저 화면에 분석값 확인 가능)</t>
        </is>
      </c>
      <c r="H76" s="38" t="inlineStr">
        <is>
          <t>HTML 텍스트·구조를 regex/DOM 카운트로 검사</t>
        </is>
      </c>
      <c r="I76" s="38" t="inlineStr">
        <is>
          <t>-</t>
        </is>
      </c>
      <c r="J76" s="38" t="inlineStr">
        <is>
          <t>dt-hardcat '하드스킬'(네이비 #495e76 배경)</t>
        </is>
      </c>
      <c r="K76" s="37" t="inlineStr"/>
      <c r="L76" s="38" t="inlineStr"/>
      <c r="M76" s="38" t="inlineStr"/>
      <c r="N76" s="38" t="inlineStr"/>
      <c r="O76" s="37" t="inlineStr"/>
      <c r="P76" s="37" t="inlineStr"/>
      <c r="Q76" s="37" t="inlineStr"/>
      <c r="R76" s="38" t="inlineStr">
        <is>
          <t>[정적검사]</t>
        </is>
      </c>
      <c r="S76" s="37" t="inlineStr">
        <is>
          <t>공통</t>
        </is>
      </c>
      <c r="T76" s="37" t="inlineStr">
        <is>
          <t>작업자4</t>
        </is>
      </c>
    </row>
    <row r="77">
      <c r="A77" s="39">
        <f>IFERROR(INDEX('시나리오'!$G$5:$G$11,MATCH($T77,'시나리오'!$L$5:$L$11,0)),$T77)</f>
        <v/>
      </c>
      <c r="B77" s="39" t="inlineStr">
        <is>
          <t>RPT-076</t>
        </is>
      </c>
      <c r="C77" s="40" t="inlineStr">
        <is>
          <t>결과지(출력물)</t>
        </is>
      </c>
      <c r="D77" s="40" t="inlineStr">
        <is>
          <t>J. BP 평가 상세</t>
        </is>
      </c>
      <c r="E77" s="39" t="inlineStr">
        <is>
          <t>P1</t>
        </is>
      </c>
      <c r="F77" s="40" t="inlineStr">
        <is>
          <t>J10 하드스킬 행=hard_skills</t>
        </is>
      </c>
      <c r="G77" s="40" t="inlineStr">
        <is>
          <t>샘플 자소서가 접수→분석→결과지까지 완료(매니저 화면에 분석값 확인 가능)</t>
        </is>
      </c>
      <c r="H77" s="40" t="inlineStr">
        <is>
          <t>매니저 화면 분석값과 결과지 노출값을 글자·자릿수 단위로 대조</t>
        </is>
      </c>
      <c r="I77" s="40" t="inlineStr">
        <is>
          <t>3단계 분석값(매니저 결과확인 화면)</t>
        </is>
      </c>
      <c r="J77" s="40" t="inlineStr">
        <is>
          <t>hard_skills.항목과 개수·순서·스킬명 일치</t>
        </is>
      </c>
      <c r="K77" s="39" t="inlineStr"/>
      <c r="L77" s="40" t="inlineStr"/>
      <c r="M77" s="40" t="inlineStr"/>
      <c r="N77" s="40" t="inlineStr"/>
      <c r="O77" s="39" t="inlineStr"/>
      <c r="P77" s="39" t="inlineStr"/>
      <c r="Q77" s="39" t="inlineStr"/>
      <c r="R77" s="40" t="inlineStr">
        <is>
          <t>[데이터대조]</t>
        </is>
      </c>
      <c r="S77" s="39" t="inlineStr">
        <is>
          <t>공통</t>
        </is>
      </c>
      <c r="T77" s="39" t="inlineStr">
        <is>
          <t>작업자5</t>
        </is>
      </c>
    </row>
    <row r="78">
      <c r="A78" s="37">
        <f>IFERROR(INDEX('시나리오'!$G$5:$G$11,MATCH($T78,'시나리오'!$L$5:$L$11,0)),$T78)</f>
        <v/>
      </c>
      <c r="B78" s="37" t="inlineStr">
        <is>
          <t>RPT-077</t>
        </is>
      </c>
      <c r="C78" s="38" t="inlineStr">
        <is>
          <t>결과지(출력물)</t>
        </is>
      </c>
      <c r="D78" s="38" t="inlineStr">
        <is>
          <t>J. BP 평가 상세</t>
        </is>
      </c>
      <c r="E78" s="37" t="inlineStr">
        <is>
          <t>P1</t>
        </is>
      </c>
      <c r="F78" s="38" t="inlineStr">
        <is>
          <t>J11 검출/미검출 표기</t>
        </is>
      </c>
      <c r="G78" s="38" t="inlineStr">
        <is>
          <t>샘플 자소서가 접수→분석→결과지까지 완료(매니저 화면에 분석값 확인 가능)</t>
        </is>
      </c>
      <c r="H78" s="38" t="inlineStr">
        <is>
          <t>기대결과의 규칙대로 기대값을 재계산한 뒤 결과지와 대조</t>
        </is>
      </c>
      <c r="I78" s="38" t="inlineStr">
        <is>
          <t>3단계 분석값(매니저 결과확인 화면)</t>
        </is>
      </c>
      <c r="J78" s="38" t="inlineStr">
        <is>
          <t>status=검출→.dt-detect.yes '검출'(파랑)+근거리스트, 미검출→.dt-detect.no '미검출'(주황)+'관련 근거 문장 없음.'</t>
        </is>
      </c>
      <c r="K78" s="37" t="inlineStr"/>
      <c r="L78" s="38" t="inlineStr"/>
      <c r="M78" s="38" t="inlineStr"/>
      <c r="N78" s="38" t="inlineStr"/>
      <c r="O78" s="37" t="inlineStr"/>
      <c r="P78" s="37" t="inlineStr"/>
      <c r="Q78" s="37" t="inlineStr"/>
      <c r="R78" s="38" t="inlineStr">
        <is>
          <t>[규칙계산]</t>
        </is>
      </c>
      <c r="S78" s="37" t="inlineStr">
        <is>
          <t>공통</t>
        </is>
      </c>
      <c r="T78" s="37" t="inlineStr">
        <is>
          <t>작업자6</t>
        </is>
      </c>
    </row>
    <row r="79">
      <c r="A79" s="39">
        <f>IFERROR(INDEX('시나리오'!$G$5:$G$11,MATCH($T79,'시나리오'!$L$5:$L$11,0)),$T79)</f>
        <v/>
      </c>
      <c r="B79" s="39" t="inlineStr">
        <is>
          <t>RPT-078</t>
        </is>
      </c>
      <c r="C79" s="40" t="inlineStr">
        <is>
          <t>결과지(출력물)</t>
        </is>
      </c>
      <c r="D79" s="40" t="inlineStr">
        <is>
          <t>J. BP 평가 상세</t>
        </is>
      </c>
      <c r="E79" s="39" t="inlineStr">
        <is>
          <t>P1</t>
        </is>
      </c>
      <c r="F79" s="40" t="inlineStr">
        <is>
          <t>J12 검출 항목 근거문장</t>
        </is>
      </c>
      <c r="G79" s="40" t="inlineStr">
        <is>
          <t>샘플 자소서가 접수→분석→결과지까지 완료(매니저 화면에 분석값 확인 가능)</t>
        </is>
      </c>
      <c r="H79" s="40" t="inlineStr">
        <is>
          <t>매니저 화면 분석값과 결과지 노출값을 글자·자릿수 단위로 대조</t>
        </is>
      </c>
      <c r="I79" s="40" t="inlineStr">
        <is>
          <t>3단계 분석값(매니저 결과확인 화면)</t>
        </is>
      </c>
      <c r="J79" s="40" t="inlineStr">
        <is>
          <t>evidence_ids 해석값이 .dt-list에 일치</t>
        </is>
      </c>
      <c r="K79" s="39" t="inlineStr"/>
      <c r="L79" s="40" t="inlineStr"/>
      <c r="M79" s="40" t="inlineStr"/>
      <c r="N79" s="40" t="inlineStr"/>
      <c r="O79" s="39" t="inlineStr"/>
      <c r="P79" s="39" t="inlineStr"/>
      <c r="Q79" s="39" t="inlineStr"/>
      <c r="R79" s="40" t="inlineStr">
        <is>
          <t>[데이터대조]</t>
        </is>
      </c>
      <c r="S79" s="39" t="inlineStr">
        <is>
          <t>공통</t>
        </is>
      </c>
      <c r="T79" s="39" t="inlineStr">
        <is>
          <t>작업자7</t>
        </is>
      </c>
    </row>
    <row r="80">
      <c r="A80" s="37">
        <f>IFERROR(INDEX('시나리오'!$G$5:$G$11,MATCH($T80,'시나리오'!$L$5:$L$11,0)),$T80)</f>
        <v/>
      </c>
      <c r="B80" s="37" t="inlineStr">
        <is>
          <t>RPT-079</t>
        </is>
      </c>
      <c r="C80" s="38" t="inlineStr">
        <is>
          <t>결과지(출력물)</t>
        </is>
      </c>
      <c r="D80" s="38" t="inlineStr">
        <is>
          <t>K. 누락·품질</t>
        </is>
      </c>
      <c r="E80" s="37" t="inlineStr">
        <is>
          <t>P1</t>
        </is>
      </c>
      <c r="F80" s="38" t="inlineStr">
        <is>
          <t>K1 evidence_ids 참조 무결</t>
        </is>
      </c>
      <c r="G80" s="38" t="inlineStr">
        <is>
          <t>샘플 자소서가 접수→분석→결과지까지 완료(매니저 화면에 분석값 확인 가능)</t>
        </is>
      </c>
      <c r="H80" s="38" t="inlineStr">
        <is>
          <t>매니저 화면 분석값과 결과지 노출값을 글자·자릿수 단위로 대조</t>
        </is>
      </c>
      <c r="I80" s="38" t="inlineStr">
        <is>
          <t>3단계 분석값(매니저 결과확인 화면)</t>
        </is>
      </c>
      <c r="J80" s="38" t="inlineStr">
        <is>
          <t>모든 evidence_ids가 evidence_sentences에 존재(미정의 id 0건)</t>
        </is>
      </c>
      <c r="K80" s="37" t="inlineStr"/>
      <c r="L80" s="38" t="inlineStr"/>
      <c r="M80" s="38" t="inlineStr"/>
      <c r="N80" s="38" t="inlineStr"/>
      <c r="O80" s="37" t="inlineStr"/>
      <c r="P80" s="37" t="inlineStr"/>
      <c r="Q80" s="37" t="inlineStr"/>
      <c r="R80" s="38" t="inlineStr">
        <is>
          <t>[데이터대조]</t>
        </is>
      </c>
      <c r="S80" s="37" t="inlineStr">
        <is>
          <t>공통</t>
        </is>
      </c>
      <c r="T80" s="37" t="inlineStr">
        <is>
          <t>작업자1</t>
        </is>
      </c>
    </row>
    <row r="81">
      <c r="A81" s="39">
        <f>IFERROR(INDEX('시나리오'!$G$5:$G$11,MATCH($T81,'시나리오'!$L$5:$L$11,0)),$T81)</f>
        <v/>
      </c>
      <c r="B81" s="39" t="inlineStr">
        <is>
          <t>RPT-080</t>
        </is>
      </c>
      <c r="C81" s="40" t="inlineStr">
        <is>
          <t>결과지(출력물)</t>
        </is>
      </c>
      <c r="D81" s="40" t="inlineStr">
        <is>
          <t>K. 누락·품질</t>
        </is>
      </c>
      <c r="E81" s="39" t="inlineStr">
        <is>
          <t>P1</t>
        </is>
      </c>
      <c r="F81" s="40" t="inlineStr">
        <is>
          <t>K2 빈 항목 일관 처리</t>
        </is>
      </c>
      <c r="G81" s="40" t="inlineStr">
        <is>
          <t>샘플 자소서가 접수→분석→결과지까지 완료(매니저 화면에 분석값 확인 가능)</t>
        </is>
      </c>
      <c r="H81" s="40" t="inlineStr">
        <is>
          <t>기대결과의 규칙대로 기대값을 재계산한 뒤 결과지와 대조</t>
        </is>
      </c>
      <c r="I81" s="40" t="inlineStr">
        <is>
          <t>3단계 분석값(매니저 결과확인 화면)</t>
        </is>
      </c>
      <c r="J81" s="40" t="inlineStr">
        <is>
          <t>grade 없음+빈 summary 항목이 코멘트 fallback+근거 empty로 일관 표기</t>
        </is>
      </c>
      <c r="K81" s="39" t="inlineStr"/>
      <c r="L81" s="40" t="inlineStr"/>
      <c r="M81" s="40" t="inlineStr"/>
      <c r="N81" s="40" t="inlineStr"/>
      <c r="O81" s="39" t="inlineStr"/>
      <c r="P81" s="39" t="inlineStr"/>
      <c r="Q81" s="39" t="inlineStr"/>
      <c r="R81" s="40" t="inlineStr">
        <is>
          <t>[규칙계산]</t>
        </is>
      </c>
      <c r="S81" s="39" t="inlineStr">
        <is>
          <t>공통</t>
        </is>
      </c>
      <c r="T81" s="39" t="inlineStr">
        <is>
          <t>작업자2</t>
        </is>
      </c>
    </row>
    <row r="82">
      <c r="A82" s="37">
        <f>IFERROR(INDEX('시나리오'!$G$5:$G$11,MATCH($T82,'시나리오'!$L$5:$L$11,0)),$T82)</f>
        <v/>
      </c>
      <c r="B82" s="37" t="inlineStr">
        <is>
          <t>RPT-081</t>
        </is>
      </c>
      <c r="C82" s="38" t="inlineStr">
        <is>
          <t>결과지(출력물)</t>
        </is>
      </c>
      <c r="D82" s="38" t="inlineStr">
        <is>
          <t>K. 누락·품질</t>
        </is>
      </c>
      <c r="E82" s="37" t="inlineStr">
        <is>
          <t>P1</t>
        </is>
      </c>
      <c r="F82" s="38" t="inlineStr">
        <is>
          <t>K3 길이 제약</t>
        </is>
      </c>
      <c r="G82" s="38" t="inlineStr">
        <is>
          <t>샘플 자소서가 접수→분석→결과지까지 완료(매니저 화면에 분석값 확인 가능)</t>
        </is>
      </c>
      <c r="H82" s="38" t="inlineStr">
        <is>
          <t>HTML 텍스트·구조를 regex/DOM 카운트로 검사</t>
        </is>
      </c>
      <c r="I82" s="38" t="inlineStr">
        <is>
          <t>-</t>
        </is>
      </c>
      <c r="J82" s="38" t="inlineStr">
        <is>
          <t>summary.headline ≤54자, 각 bullet ≤60자, 불릿 ≤10개(초과 시 빌드 실패·P1 넘침)</t>
        </is>
      </c>
      <c r="K82" s="37" t="inlineStr"/>
      <c r="L82" s="38" t="inlineStr"/>
      <c r="M82" s="38" t="inlineStr"/>
      <c r="N82" s="38" t="inlineStr"/>
      <c r="O82" s="37" t="inlineStr"/>
      <c r="P82" s="37" t="inlineStr"/>
      <c r="Q82" s="37" t="inlineStr"/>
      <c r="R82" s="38" t="inlineStr">
        <is>
          <t>[정적검사]</t>
        </is>
      </c>
      <c r="S82" s="37" t="inlineStr">
        <is>
          <t>공통</t>
        </is>
      </c>
      <c r="T82" s="37" t="inlineStr">
        <is>
          <t>작업자3</t>
        </is>
      </c>
    </row>
    <row r="83">
      <c r="A83" s="39">
        <f>IFERROR(INDEX('시나리오'!$G$5:$G$11,MATCH($T83,'시나리오'!$L$5:$L$11,0)),$T83)</f>
        <v/>
      </c>
      <c r="B83" s="39" t="inlineStr">
        <is>
          <t>RPT-082</t>
        </is>
      </c>
      <c r="C83" s="40" t="inlineStr">
        <is>
          <t>결과지(출력물)</t>
        </is>
      </c>
      <c r="D83" s="40" t="inlineStr">
        <is>
          <t>K. 누락·품질</t>
        </is>
      </c>
      <c r="E83" s="39" t="inlineStr">
        <is>
          <t>P2</t>
        </is>
      </c>
      <c r="F83" s="40" t="inlineStr">
        <is>
          <t>K4 불릿 권장 개수</t>
        </is>
      </c>
      <c r="G83" s="40" t="inlineStr">
        <is>
          <t>샘플 자소서가 접수→분석→결과지까지 완료(매니저 화면에 분석값 확인 가능)</t>
        </is>
      </c>
      <c r="H83" s="40" t="inlineStr">
        <is>
          <t>HTML 텍스트·구조를 regex/DOM 카운트로 검사</t>
        </is>
      </c>
      <c r="I83" s="40" t="inlineStr">
        <is>
          <t>-</t>
        </is>
      </c>
      <c r="J83" s="40" t="inlineStr">
        <is>
          <t>summary.bullets 응시자별 4~5개 권장(5 초과 시 P1 넘침 위험)</t>
        </is>
      </c>
      <c r="K83" s="39" t="inlineStr"/>
      <c r="L83" s="40" t="inlineStr"/>
      <c r="M83" s="40" t="inlineStr"/>
      <c r="N83" s="40" t="inlineStr"/>
      <c r="O83" s="39" t="inlineStr"/>
      <c r="P83" s="39" t="inlineStr"/>
      <c r="Q83" s="39" t="inlineStr"/>
      <c r="R83" s="40" t="inlineStr">
        <is>
          <t>[정적검사]</t>
        </is>
      </c>
      <c r="S83" s="39" t="inlineStr">
        <is>
          <t>공통</t>
        </is>
      </c>
      <c r="T83" s="39" t="inlineStr">
        <is>
          <t>작업자4</t>
        </is>
      </c>
    </row>
    <row r="84">
      <c r="A84" s="37">
        <f>IFERROR(INDEX('시나리오'!$G$5:$G$11,MATCH($T84,'시나리오'!$L$5:$L$11,0)),$T84)</f>
        <v/>
      </c>
      <c r="B84" s="37" t="inlineStr">
        <is>
          <t>RPT-083</t>
        </is>
      </c>
      <c r="C84" s="38" t="inlineStr">
        <is>
          <t>결과지(출력물)</t>
        </is>
      </c>
      <c r="D84" s="38" t="inlineStr">
        <is>
          <t>K. 누락·품질</t>
        </is>
      </c>
      <c r="E84" s="37" t="inlineStr">
        <is>
          <t>P1</t>
        </is>
      </c>
      <c r="F84" s="38" t="inlineStr">
        <is>
          <t>K5 응시자 간 값 혼입 없음</t>
        </is>
      </c>
      <c r="G84" s="38" t="inlineStr">
        <is>
          <t>샘플 자소서가 접수→분석→결과지까지 완료(매니저 화면에 분석값 확인 가능)</t>
        </is>
      </c>
      <c r="H84" s="38" t="inlineStr">
        <is>
          <t>매니저 화면 분석값과 결과지 노출값을 글자·자릿수 단위로 대조</t>
        </is>
      </c>
      <c r="I84" s="38" t="inlineStr">
        <is>
          <t>3단계 분석값(매니저 결과확인 화면)</t>
        </is>
      </c>
      <c r="J84" s="38" t="inlineStr">
        <is>
          <t>A응시자 HTML에 B응시자 이름/번호/점수가 섞이지 않음</t>
        </is>
      </c>
      <c r="K84" s="37" t="inlineStr"/>
      <c r="L84" s="38" t="inlineStr"/>
      <c r="M84" s="38" t="inlineStr"/>
      <c r="N84" s="38" t="inlineStr"/>
      <c r="O84" s="37" t="inlineStr"/>
      <c r="P84" s="37" t="inlineStr"/>
      <c r="Q84" s="37" t="inlineStr"/>
      <c r="R84" s="38" t="inlineStr">
        <is>
          <t>[데이터대조]</t>
        </is>
      </c>
      <c r="S84" s="37" t="inlineStr">
        <is>
          <t>공통</t>
        </is>
      </c>
      <c r="T84" s="37" t="inlineStr">
        <is>
          <t>작업자5</t>
        </is>
      </c>
    </row>
    <row r="85">
      <c r="A85" s="39">
        <f>IFERROR(INDEX('시나리오'!$G$5:$G$11,MATCH($T85,'시나리오'!$L$5:$L$11,0)),$T85)</f>
        <v/>
      </c>
      <c r="B85" s="39" t="inlineStr">
        <is>
          <t>RPT-084</t>
        </is>
      </c>
      <c r="C85" s="40" t="inlineStr">
        <is>
          <t>결과지(출력물)</t>
        </is>
      </c>
      <c r="D85" s="40" t="inlineStr">
        <is>
          <t>L. A4 규격</t>
        </is>
      </c>
      <c r="E85" s="39" t="inlineStr">
        <is>
          <t>P1</t>
        </is>
      </c>
      <c r="F85" s="40" t="inlineStr">
        <is>
          <t>L1 .page 990×1399 overflow hidden</t>
        </is>
      </c>
      <c r="G85" s="40" t="inlineStr">
        <is>
          <t>샘플 자소서가 접수→분석→결과지까지 완료(매니저 화면에 분석값 확인 가능)</t>
        </is>
      </c>
      <c r="H85" s="40" t="inlineStr">
        <is>
          <t>HTML 텍스트·구조를 regex/DOM 카운트로 검사</t>
        </is>
      </c>
      <c r="I85" s="40" t="inlineStr">
        <is>
          <t>-</t>
        </is>
      </c>
      <c r="J85" s="40" t="inlineStr">
        <is>
          <t>모든 .page가 width:990px·height:1399px·overflow:hidden. min-height 사용 금지</t>
        </is>
      </c>
      <c r="K85" s="39" t="inlineStr"/>
      <c r="L85" s="40" t="inlineStr"/>
      <c r="M85" s="40" t="inlineStr"/>
      <c r="N85" s="40" t="inlineStr"/>
      <c r="O85" s="39" t="inlineStr"/>
      <c r="P85" s="39" t="inlineStr"/>
      <c r="Q85" s="39" t="inlineStr"/>
      <c r="R85" s="40" t="inlineStr">
        <is>
          <t>[정적검사]</t>
        </is>
      </c>
      <c r="S85" s="39" t="inlineStr">
        <is>
          <t>공통</t>
        </is>
      </c>
      <c r="T85" s="39" t="inlineStr">
        <is>
          <t>작업자6</t>
        </is>
      </c>
    </row>
    <row r="86">
      <c r="A86" s="37">
        <f>IFERROR(INDEX('시나리오'!$G$5:$G$11,MATCH($T86,'시나리오'!$L$5:$L$11,0)),$T86)</f>
        <v/>
      </c>
      <c r="B86" s="37" t="inlineStr">
        <is>
          <t>RPT-085</t>
        </is>
      </c>
      <c r="C86" s="38" t="inlineStr">
        <is>
          <t>결과지(출력물)</t>
        </is>
      </c>
      <c r="D86" s="38" t="inlineStr">
        <is>
          <t>L. A4 규격</t>
        </is>
      </c>
      <c r="E86" s="37" t="inlineStr">
        <is>
          <t>P1</t>
        </is>
      </c>
      <c r="F86" s="38" t="inlineStr">
        <is>
          <t>L2 @page A4</t>
        </is>
      </c>
      <c r="G86" s="38" t="inlineStr">
        <is>
          <t>샘플 자소서가 접수→분석→결과지까지 완료(매니저 화면에 분석값 확인 가능)</t>
        </is>
      </c>
      <c r="H86" s="38" t="inlineStr">
        <is>
          <t>HTML 텍스트·구조를 regex/DOM 카운트로 검사</t>
        </is>
      </c>
      <c r="I86" s="38" t="inlineStr">
        <is>
          <t>-</t>
        </is>
      </c>
      <c r="J86" s="38" t="inlineStr">
        <is>
          <t>@page{size:A4;margin:0} + print-color-adjust:exact 포함</t>
        </is>
      </c>
      <c r="K86" s="37" t="inlineStr"/>
      <c r="L86" s="38" t="inlineStr"/>
      <c r="M86" s="38" t="inlineStr"/>
      <c r="N86" s="38" t="inlineStr"/>
      <c r="O86" s="37" t="inlineStr"/>
      <c r="P86" s="37" t="inlineStr"/>
      <c r="Q86" s="37" t="inlineStr"/>
      <c r="R86" s="38" t="inlineStr">
        <is>
          <t>[정적검사]</t>
        </is>
      </c>
      <c r="S86" s="37" t="inlineStr">
        <is>
          <t>공통</t>
        </is>
      </c>
      <c r="T86" s="37" t="inlineStr">
        <is>
          <t>작업자7</t>
        </is>
      </c>
    </row>
    <row r="87">
      <c r="A87" s="39">
        <f>IFERROR(INDEX('시나리오'!$G$5:$G$11,MATCH($T87,'시나리오'!$L$5:$L$11,0)),$T87)</f>
        <v/>
      </c>
      <c r="B87" s="39" t="inlineStr">
        <is>
          <t>RPT-086</t>
        </is>
      </c>
      <c r="C87" s="40" t="inlineStr">
        <is>
          <t>결과지(출력물)</t>
        </is>
      </c>
      <c r="D87" s="40" t="inlineStr">
        <is>
          <t>L. A4 규격</t>
        </is>
      </c>
      <c r="E87" s="39" t="inlineStr">
        <is>
          <t>P1</t>
        </is>
      </c>
      <c r="F87" s="40" t="inlineStr">
        <is>
          <t>L3 모든 페이지 doc-header</t>
        </is>
      </c>
      <c r="G87" s="40" t="inlineStr">
        <is>
          <t>샘플 자소서가 접수→분석→결과지까지 완료(매니저 화면에 분석값 확인 가능)</t>
        </is>
      </c>
      <c r="H87" s="40" t="inlineStr">
        <is>
          <t>HTML 텍스트·구조를 regex/DOM 카운트로 검사</t>
        </is>
      </c>
      <c r="I87" s="40" t="inlineStr">
        <is>
          <t>-</t>
        </is>
      </c>
      <c r="J87" s="40" t="inlineStr">
        <is>
          <t>모든 페이지에 doc-header(27px), 자동생성 P4+ 포함 예외 없음</t>
        </is>
      </c>
      <c r="K87" s="39" t="inlineStr"/>
      <c r="L87" s="40" t="inlineStr"/>
      <c r="M87" s="40" t="inlineStr"/>
      <c r="N87" s="40" t="inlineStr"/>
      <c r="O87" s="39" t="inlineStr"/>
      <c r="P87" s="39" t="inlineStr"/>
      <c r="Q87" s="39" t="inlineStr"/>
      <c r="R87" s="40" t="inlineStr">
        <is>
          <t>[정적검사]</t>
        </is>
      </c>
      <c r="S87" s="39" t="inlineStr">
        <is>
          <t>공통</t>
        </is>
      </c>
      <c r="T87" s="39" t="inlineStr">
        <is>
          <t>작업자1</t>
        </is>
      </c>
    </row>
    <row r="88">
      <c r="A88" s="37">
        <f>IFERROR(INDEX('시나리오'!$G$5:$G$11,MATCH($T88,'시나리오'!$L$5:$L$11,0)),$T88)</f>
        <v/>
      </c>
      <c r="B88" s="37" t="inlineStr">
        <is>
          <t>RPT-087</t>
        </is>
      </c>
      <c r="C88" s="38" t="inlineStr">
        <is>
          <t>결과지(출력물)</t>
        </is>
      </c>
      <c r="D88" s="38" t="inlineStr">
        <is>
          <t>L. A4 규격</t>
        </is>
      </c>
      <c r="E88" s="37" t="inlineStr">
        <is>
          <t>P1</t>
        </is>
      </c>
      <c r="F88" s="38" t="inlineStr">
        <is>
          <t>L4 모든 페이지 footer</t>
        </is>
      </c>
      <c r="G88" s="38" t="inlineStr">
        <is>
          <t>샘플 자소서가 접수→분석→결과지까지 완료(매니저 화면에 분석값 확인 가능)</t>
        </is>
      </c>
      <c r="H88" s="38" t="inlineStr">
        <is>
          <t>HTML 텍스트·구조를 regex/DOM 카운트로 검사</t>
        </is>
      </c>
      <c r="I88" s="38" t="inlineStr">
        <is>
          <t>-</t>
        </is>
      </c>
      <c r="J88" s="38" t="inlineStr">
        <is>
          <t>모든 페이지에 footer(34px), 예외 없음</t>
        </is>
      </c>
      <c r="K88" s="37" t="inlineStr"/>
      <c r="L88" s="38" t="inlineStr"/>
      <c r="M88" s="38" t="inlineStr"/>
      <c r="N88" s="38" t="inlineStr"/>
      <c r="O88" s="37" t="inlineStr"/>
      <c r="P88" s="37" t="inlineStr"/>
      <c r="Q88" s="37" t="inlineStr"/>
      <c r="R88" s="38" t="inlineStr">
        <is>
          <t>[정적검사]</t>
        </is>
      </c>
      <c r="S88" s="37" t="inlineStr">
        <is>
          <t>공통</t>
        </is>
      </c>
      <c r="T88" s="37" t="inlineStr">
        <is>
          <t>작업자2</t>
        </is>
      </c>
    </row>
    <row r="89">
      <c r="A89" s="39">
        <f>IFERROR(INDEX('시나리오'!$G$5:$G$11,MATCH($T89,'시나리오'!$L$5:$L$11,0)),$T89)</f>
        <v/>
      </c>
      <c r="B89" s="39" t="inlineStr">
        <is>
          <t>RPT-088</t>
        </is>
      </c>
      <c r="C89" s="40" t="inlineStr">
        <is>
          <t>결과지(출력물)</t>
        </is>
      </c>
      <c r="D89" s="40" t="inlineStr">
        <is>
          <t>L. A4 규격</t>
        </is>
      </c>
      <c r="E89" s="39" t="inlineStr">
        <is>
          <t>P1</t>
        </is>
      </c>
      <c r="F89" s="40" t="inlineStr">
        <is>
          <t>L5 P1에만 지원자 카드</t>
        </is>
      </c>
      <c r="G89" s="40" t="inlineStr">
        <is>
          <t>샘플 자소서가 접수→분석→결과지까지 완료(매니저 화면에 분석값 확인 가능)</t>
        </is>
      </c>
      <c r="H89" s="40" t="inlineStr">
        <is>
          <t>HTML 텍스트·구조를 regex/DOM 카운트로 검사</t>
        </is>
      </c>
      <c r="I89" s="40" t="inlineStr">
        <is>
          <t>-</t>
        </is>
      </c>
      <c r="J89" s="40" t="inlineStr">
        <is>
          <t>.bp-card는 1페이지에 1개, 2페이지 이후 없음</t>
        </is>
      </c>
      <c r="K89" s="39" t="inlineStr"/>
      <c r="L89" s="40" t="inlineStr"/>
      <c r="M89" s="40" t="inlineStr"/>
      <c r="N89" s="40" t="inlineStr"/>
      <c r="O89" s="39" t="inlineStr"/>
      <c r="P89" s="39" t="inlineStr"/>
      <c r="Q89" s="39" t="inlineStr"/>
      <c r="R89" s="40" t="inlineStr">
        <is>
          <t>[정적검사]</t>
        </is>
      </c>
      <c r="S89" s="39" t="inlineStr">
        <is>
          <t>공통</t>
        </is>
      </c>
      <c r="T89" s="39" t="inlineStr">
        <is>
          <t>작업자3</t>
        </is>
      </c>
    </row>
    <row r="90">
      <c r="A90" s="37">
        <f>IFERROR(INDEX('시나리오'!$G$5:$G$11,MATCH($T90,'시나리오'!$L$5:$L$11,0)),$T90)</f>
        <v/>
      </c>
      <c r="B90" s="37" t="inlineStr">
        <is>
          <t>RPT-089</t>
        </is>
      </c>
      <c r="C90" s="38" t="inlineStr">
        <is>
          <t>결과지(출력물)</t>
        </is>
      </c>
      <c r="D90" s="38" t="inlineStr">
        <is>
          <t>M. 푸터·고정문구</t>
        </is>
      </c>
      <c r="E90" s="37" t="inlineStr">
        <is>
          <t>P2</t>
        </is>
      </c>
      <c r="F90" s="38" t="inlineStr">
        <is>
          <t>M1 푸터 로고 경로</t>
        </is>
      </c>
      <c r="G90" s="38" t="inlineStr">
        <is>
          <t>샘플 자소서가 접수→분석→결과지까지 완료(매니저 화면에 분석값 확인 가능)</t>
        </is>
      </c>
      <c r="H90" s="38" t="inlineStr">
        <is>
          <t>HTML 텍스트·구조를 regex/DOM 카운트로 검사</t>
        </is>
      </c>
      <c r="I90" s="38" t="inlineStr">
        <is>
          <t>-</t>
        </is>
      </c>
      <c r="J90" s="38" t="inlineStr">
        <is>
          <t>../logo/logo_prism.png</t>
        </is>
      </c>
      <c r="K90" s="37" t="inlineStr"/>
      <c r="L90" s="38" t="inlineStr"/>
      <c r="M90" s="38" t="inlineStr"/>
      <c r="N90" s="38" t="inlineStr"/>
      <c r="O90" s="37" t="inlineStr"/>
      <c r="P90" s="37" t="inlineStr"/>
      <c r="Q90" s="37" t="inlineStr"/>
      <c r="R90" s="38" t="inlineStr">
        <is>
          <t>[정적검사]</t>
        </is>
      </c>
      <c r="S90" s="37" t="inlineStr">
        <is>
          <t>공통</t>
        </is>
      </c>
      <c r="T90" s="37" t="inlineStr">
        <is>
          <t>작업자4</t>
        </is>
      </c>
    </row>
    <row r="91">
      <c r="A91" s="39">
        <f>IFERROR(INDEX('시나리오'!$G$5:$G$11,MATCH($T91,'시나리오'!$L$5:$L$11,0)),$T91)</f>
        <v/>
      </c>
      <c r="B91" s="39" t="inlineStr">
        <is>
          <t>RPT-090</t>
        </is>
      </c>
      <c r="C91" s="40" t="inlineStr">
        <is>
          <t>결과지(출력물)</t>
        </is>
      </c>
      <c r="D91" s="40" t="inlineStr">
        <is>
          <t>M. 푸터·고정문구</t>
        </is>
      </c>
      <c r="E91" s="39" t="inlineStr">
        <is>
          <t>P2</t>
        </is>
      </c>
      <c r="F91" s="40" t="inlineStr">
        <is>
          <t>M2 푸터 제품명</t>
        </is>
      </c>
      <c r="G91" s="40" t="inlineStr">
        <is>
          <t>샘플 자소서가 접수→분석→결과지까지 완료(매니저 화면에 분석값 확인 가능)</t>
        </is>
      </c>
      <c r="H91" s="40" t="inlineStr">
        <is>
          <t>HTML 텍스트·구조를 regex/DOM 카운트로 검사</t>
        </is>
      </c>
      <c r="I91" s="40" t="inlineStr">
        <is>
          <t>-</t>
        </is>
      </c>
      <c r="J91" s="40" t="inlineStr">
        <is>
          <t>'서류평가'</t>
        </is>
      </c>
      <c r="K91" s="39" t="inlineStr"/>
      <c r="L91" s="40" t="inlineStr"/>
      <c r="M91" s="40" t="inlineStr"/>
      <c r="N91" s="40" t="inlineStr"/>
      <c r="O91" s="39" t="inlineStr"/>
      <c r="P91" s="39" t="inlineStr"/>
      <c r="Q91" s="39" t="inlineStr"/>
      <c r="R91" s="40" t="inlineStr">
        <is>
          <t>[정적검사]</t>
        </is>
      </c>
      <c r="S91" s="39" t="inlineStr">
        <is>
          <t>공통</t>
        </is>
      </c>
      <c r="T91" s="39" t="inlineStr">
        <is>
          <t>작업자5</t>
        </is>
      </c>
    </row>
    <row r="92">
      <c r="A92" s="37">
        <f>IFERROR(INDEX('시나리오'!$G$5:$G$11,MATCH($T92,'시나리오'!$L$5:$L$11,0)),$T92)</f>
        <v/>
      </c>
      <c r="B92" s="37" t="inlineStr">
        <is>
          <t>RPT-091</t>
        </is>
      </c>
      <c r="C92" s="38" t="inlineStr">
        <is>
          <t>결과지(출력물)</t>
        </is>
      </c>
      <c r="D92" s="38" t="inlineStr">
        <is>
          <t>M. 푸터·고정문구</t>
        </is>
      </c>
      <c r="E92" s="37" t="inlineStr">
        <is>
          <t>P1</t>
        </is>
      </c>
      <c r="F92" s="38" t="inlineStr">
        <is>
          <t>M3 저작권 2줄 정확 일치</t>
        </is>
      </c>
      <c r="G92" s="38" t="inlineStr">
        <is>
          <t>샘플 자소서가 접수→분석→결과지까지 완료(매니저 화면에 분석값 확인 가능)</t>
        </is>
      </c>
      <c r="H92" s="38" t="inlineStr">
        <is>
          <t>HTML 텍스트·구조를 regex/DOM 카운트로 검사</t>
        </is>
      </c>
      <c r="I92" s="38" t="inlineStr">
        <is>
          <t>-</t>
        </is>
      </c>
      <c r="J92" s="38" t="inlineStr">
        <is>
          <t>'Copyright © 2026 muhayu Inc. All rights reserved.' + '본 결과의 평가 기준, 문항, 분석 내용 등 모든 지적재산권은 ㈜무하유에 귀속됩니다. 무단 복제 및 재배포를 금합니다.'</t>
        </is>
      </c>
      <c r="K92" s="37" t="inlineStr"/>
      <c r="L92" s="38" t="inlineStr"/>
      <c r="M92" s="38" t="inlineStr"/>
      <c r="N92" s="38" t="inlineStr"/>
      <c r="O92" s="37" t="inlineStr"/>
      <c r="P92" s="37" t="inlineStr"/>
      <c r="Q92" s="37" t="inlineStr"/>
      <c r="R92" s="38" t="inlineStr">
        <is>
          <t>[정적검사]</t>
        </is>
      </c>
      <c r="S92" s="37" t="inlineStr">
        <is>
          <t>공통</t>
        </is>
      </c>
      <c r="T92" s="37" t="inlineStr">
        <is>
          <t>작업자6</t>
        </is>
      </c>
    </row>
    <row r="93">
      <c r="A93" s="39">
        <f>IFERROR(INDEX('시나리오'!$G$5:$G$11,MATCH($T93,'시나리오'!$L$5:$L$11,0)),$T93)</f>
        <v/>
      </c>
      <c r="B93" s="39" t="inlineStr">
        <is>
          <t>RPT-092</t>
        </is>
      </c>
      <c r="C93" s="40" t="inlineStr">
        <is>
          <t>결과지(출력물)</t>
        </is>
      </c>
      <c r="D93" s="40" t="inlineStr">
        <is>
          <t>M. 푸터·고정문구</t>
        </is>
      </c>
      <c r="E93" s="39" t="inlineStr">
        <is>
          <t>P1</t>
        </is>
      </c>
      <c r="F93" s="40" t="inlineStr">
        <is>
          <t>M4 페이지번호 동적·연속</t>
        </is>
      </c>
      <c r="G93" s="40" t="inlineStr">
        <is>
          <t>샘플 자소서가 접수→분석→결과지까지 완료(매니저 화면에 분석값 확인 가능)</t>
        </is>
      </c>
      <c r="H93" s="40" t="inlineStr">
        <is>
          <t>헤드리스 브라우저로 렌더 후 크기·bbox·overflow 측정</t>
        </is>
      </c>
      <c r="I93" s="40" t="inlineStr">
        <is>
          <t>-</t>
        </is>
      </c>
      <c r="J93" s="40" t="inlineStr">
        <is>
          <t>.footer-page가 n/total 형식, total=실제 .page 수, 1부터 빠짐없이 증가</t>
        </is>
      </c>
      <c r="K93" s="39" t="inlineStr"/>
      <c r="L93" s="40" t="inlineStr"/>
      <c r="M93" s="40" t="inlineStr"/>
      <c r="N93" s="40" t="inlineStr"/>
      <c r="O93" s="39" t="inlineStr"/>
      <c r="P93" s="39" t="inlineStr"/>
      <c r="Q93" s="39" t="inlineStr"/>
      <c r="R93" s="40" t="inlineStr">
        <is>
          <t>[렌더측정]</t>
        </is>
      </c>
      <c r="S93" s="39" t="inlineStr">
        <is>
          <t>공통</t>
        </is>
      </c>
      <c r="T93" s="39" t="inlineStr">
        <is>
          <t>작업자7</t>
        </is>
      </c>
    </row>
    <row r="94">
      <c r="A94" s="37">
        <f>IFERROR(INDEX('시나리오'!$G$5:$G$11,MATCH($T94,'시나리오'!$L$5:$L$11,0)),$T94)</f>
        <v/>
      </c>
      <c r="B94" s="37" t="inlineStr">
        <is>
          <t>RPT-093</t>
        </is>
      </c>
      <c r="C94" s="38" t="inlineStr">
        <is>
          <t>결과지(출력물)</t>
        </is>
      </c>
      <c r="D94" s="38" t="inlineStr">
        <is>
          <t>M. 푸터·고정문구</t>
        </is>
      </c>
      <c r="E94" s="37" t="inlineStr">
        <is>
          <t>P1</t>
        </is>
      </c>
      <c r="F94" s="38" t="inlineStr">
        <is>
          <t>M5 마지막 페이지 안내 2줄</t>
        </is>
      </c>
      <c r="G94" s="38" t="inlineStr">
        <is>
          <t>샘플 자소서가 접수→분석→결과지까지 완료(매니저 화면에 분석값 확인 가능)</t>
        </is>
      </c>
      <c r="H94" s="38" t="inlineStr">
        <is>
          <t>HTML 텍스트·구조를 regex/DOM 카운트로 검사</t>
        </is>
      </c>
      <c r="I94" s="38" t="inlineStr">
        <is>
          <t>-</t>
        </is>
      </c>
      <c r="J94" s="38" t="inlineStr">
        <is>
          <t>.report-info 2개 item(1=AI 분석 고지 프리즘 BP 문구, 2=개인정보 법령 고지), CLAUDE.md 원문과 글자 단위 일치</t>
        </is>
      </c>
      <c r="K94" s="37" t="inlineStr"/>
      <c r="L94" s="38" t="inlineStr"/>
      <c r="M94" s="38" t="inlineStr"/>
      <c r="N94" s="38" t="inlineStr"/>
      <c r="O94" s="37" t="inlineStr"/>
      <c r="P94" s="37" t="inlineStr"/>
      <c r="Q94" s="37" t="inlineStr"/>
      <c r="R94" s="38" t="inlineStr">
        <is>
          <t>[정적검사]</t>
        </is>
      </c>
      <c r="S94" s="37" t="inlineStr">
        <is>
          <t>공통</t>
        </is>
      </c>
      <c r="T94" s="37" t="inlineStr">
        <is>
          <t>작업자1</t>
        </is>
      </c>
    </row>
    <row r="95">
      <c r="A95" s="39">
        <f>IFERROR(INDEX('시나리오'!$G$5:$G$11,MATCH($T95,'시나리오'!$L$5:$L$11,0)),$T95)</f>
        <v/>
      </c>
      <c r="B95" s="39" t="inlineStr">
        <is>
          <t>RPT-094</t>
        </is>
      </c>
      <c r="C95" s="40" t="inlineStr">
        <is>
          <t>결과지(출력물)</t>
        </is>
      </c>
      <c r="D95" s="40" t="inlineStr">
        <is>
          <t>M. 푸터·고정문구</t>
        </is>
      </c>
      <c r="E95" s="39" t="inlineStr">
        <is>
          <t>P1</t>
        </is>
      </c>
      <c r="F95" s="40" t="inlineStr">
        <is>
          <t>M6 마지막장 저작권·AI기본법 고지 필수</t>
        </is>
      </c>
      <c r="G95" s="40" t="inlineStr">
        <is>
          <t>샘플 자소서가 접수→분석→결과지까지 완료(매니저 화면에 분석값 확인 가능)</t>
        </is>
      </c>
      <c r="H95" s="40" t="inlineStr">
        <is>
          <t>HTML 텍스트·구조를 regex/DOM 카운트로 검사</t>
        </is>
      </c>
      <c r="I95" s="40" t="inlineStr">
        <is>
          <t>-</t>
        </is>
      </c>
      <c r="J95" s="40" t="inlineStr">
        <is>
          <t>모든 결과지 마지막 장 끝에 저작권 및 AI기본법 관련 고지가 반드시 포함. 분량으로 페이지가 추가되더라도 반드시 추가(누락 시 치명)</t>
        </is>
      </c>
      <c r="K95" s="39" t="inlineStr"/>
      <c r="L95" s="40" t="inlineStr"/>
      <c r="M95" s="40" t="inlineStr"/>
      <c r="N95" s="40" t="inlineStr"/>
      <c r="O95" s="39" t="inlineStr"/>
      <c r="P95" s="39" t="inlineStr"/>
      <c r="Q95" s="39" t="inlineStr"/>
      <c r="R95" s="40" t="inlineStr">
        <is>
          <t>[정적검사]</t>
        </is>
      </c>
      <c r="S95" s="39" t="inlineStr">
        <is>
          <t>공통</t>
        </is>
      </c>
      <c r="T95" s="39" t="inlineStr">
        <is>
          <t>작업자2</t>
        </is>
      </c>
    </row>
    <row r="96">
      <c r="A96" s="37">
        <f>IFERROR(INDEX('시나리오'!$G$5:$G$11,MATCH($T96,'시나리오'!$L$5:$L$11,0)),$T96)</f>
        <v/>
      </c>
      <c r="B96" s="37" t="inlineStr">
        <is>
          <t>RPT-095</t>
        </is>
      </c>
      <c r="C96" s="38" t="inlineStr">
        <is>
          <t>결과지(출력물)</t>
        </is>
      </c>
      <c r="D96" s="38" t="inlineStr">
        <is>
          <t>N. 페이지네이션</t>
        </is>
      </c>
      <c r="E96" s="37" t="inlineStr">
        <is>
          <t>P2</t>
        </is>
      </c>
      <c r="F96" s="38" t="inlineStr">
        <is>
          <t>N1 #dt-source 제거</t>
        </is>
      </c>
      <c r="G96" s="38" t="inlineStr">
        <is>
          <t>샘플 자소서가 접수→분석→결과지까지 완료(매니저 화면에 분석값 확인 가능)</t>
        </is>
      </c>
      <c r="H96" s="38" t="inlineStr">
        <is>
          <t>헤드리스 브라우저로 렌더 후 크기·bbox·overflow 측정</t>
        </is>
      </c>
      <c r="I96" s="38" t="inlineStr">
        <is>
          <t>-</t>
        </is>
      </c>
      <c r="J96" s="38" t="inlineStr">
        <is>
          <t>숨김 소스가 렌더 후 제거되어 화면/인쇄에 중복 노출 안 됨</t>
        </is>
      </c>
      <c r="K96" s="37" t="inlineStr"/>
      <c r="L96" s="38" t="inlineStr"/>
      <c r="M96" s="38" t="inlineStr"/>
      <c r="N96" s="38" t="inlineStr"/>
      <c r="O96" s="37" t="inlineStr"/>
      <c r="P96" s="37" t="inlineStr"/>
      <c r="Q96" s="37" t="inlineStr"/>
      <c r="R96" s="38" t="inlineStr">
        <is>
          <t>[렌더측정]</t>
        </is>
      </c>
      <c r="S96" s="37" t="inlineStr">
        <is>
          <t>공통</t>
        </is>
      </c>
      <c r="T96" s="37" t="inlineStr">
        <is>
          <t>작업자3</t>
        </is>
      </c>
    </row>
    <row r="97">
      <c r="A97" s="39">
        <f>IFERROR(INDEX('시나리오'!$G$5:$G$11,MATCH($T97,'시나리오'!$L$5:$L$11,0)),$T97)</f>
        <v/>
      </c>
      <c r="B97" s="39" t="inlineStr">
        <is>
          <t>RPT-096</t>
        </is>
      </c>
      <c r="C97" s="40" t="inlineStr">
        <is>
          <t>결과지(출력물)</t>
        </is>
      </c>
      <c r="D97" s="40" t="inlineStr">
        <is>
          <t>N. 페이지네이션</t>
        </is>
      </c>
      <c r="E97" s="39" t="inlineStr">
        <is>
          <t>P2</t>
        </is>
      </c>
      <c r="F97" s="40" t="inlineStr">
        <is>
          <t>N2 섹션 헤더 고아 없음</t>
        </is>
      </c>
      <c r="G97" s="40" t="inlineStr">
        <is>
          <t>샘플 자소서가 접수→분석→결과지까지 완료(매니저 화면에 분석값 확인 가능)</t>
        </is>
      </c>
      <c r="H97" s="40" t="inlineStr">
        <is>
          <t>헤드리스 브라우저로 렌더 후 크기·bbox·overflow 측정</t>
        </is>
      </c>
      <c r="I97" s="40" t="inlineStr">
        <is>
          <t>-</t>
        </is>
      </c>
      <c r="J97" s="40" t="inlineStr">
        <is>
          <t>dt-cat/dt-subcat/dt-hardcat/dt-sec-title가 페이지 끝에 혼자 남지 않고 다음 블록과 동반</t>
        </is>
      </c>
      <c r="K97" s="39" t="inlineStr"/>
      <c r="L97" s="40" t="inlineStr"/>
      <c r="M97" s="40" t="inlineStr"/>
      <c r="N97" s="40" t="inlineStr"/>
      <c r="O97" s="39" t="inlineStr"/>
      <c r="P97" s="39" t="inlineStr"/>
      <c r="Q97" s="39" t="inlineStr"/>
      <c r="R97" s="40" t="inlineStr">
        <is>
          <t>[렌더측정]</t>
        </is>
      </c>
      <c r="S97" s="39" t="inlineStr">
        <is>
          <t>공통</t>
        </is>
      </c>
      <c r="T97" s="39" t="inlineStr">
        <is>
          <t>작업자4</t>
        </is>
      </c>
    </row>
    <row r="98">
      <c r="A98" s="37">
        <f>IFERROR(INDEX('시나리오'!$G$5:$G$11,MATCH($T98,'시나리오'!$L$5:$L$11,0)),$T98)</f>
        <v/>
      </c>
      <c r="B98" s="37" t="inlineStr">
        <is>
          <t>RPT-097</t>
        </is>
      </c>
      <c r="C98" s="38" t="inlineStr">
        <is>
          <t>결과지(출력물)</t>
        </is>
      </c>
      <c r="D98" s="38" t="inlineStr">
        <is>
          <t>N. 페이지네이션</t>
        </is>
      </c>
      <c r="E98" s="37" t="inlineStr">
        <is>
          <t>P2</t>
        </is>
      </c>
      <c r="F98" s="38" t="inlineStr">
        <is>
          <t>N3 연속 페이지 첫 행 구분선</t>
        </is>
      </c>
      <c r="G98" s="38" t="inlineStr">
        <is>
          <t>샘플 자소서가 접수→분석→결과지까지 완료(매니저 화면에 분석값 확인 가능)</t>
        </is>
      </c>
      <c r="H98" s="38" t="inlineStr">
        <is>
          <t>HTML 텍스트·구조를 regex/DOM 카운트로 검사</t>
        </is>
      </c>
      <c r="I98" s="38" t="inlineStr">
        <is>
          <t>-</t>
        </is>
      </c>
      <c r="J98" s="38" t="inlineStr">
        <is>
          <t>2번째 상세페이지부터 첫 콘텐츠 행에 .dt-conttop(상단 구분선)</t>
        </is>
      </c>
      <c r="K98" s="37" t="inlineStr"/>
      <c r="L98" s="38" t="inlineStr"/>
      <c r="M98" s="38" t="inlineStr"/>
      <c r="N98" s="38" t="inlineStr"/>
      <c r="O98" s="37" t="inlineStr"/>
      <c r="P98" s="37" t="inlineStr"/>
      <c r="Q98" s="37" t="inlineStr"/>
      <c r="R98" s="38" t="inlineStr">
        <is>
          <t>[정적검사]</t>
        </is>
      </c>
      <c r="S98" s="37" t="inlineStr">
        <is>
          <t>공통</t>
        </is>
      </c>
      <c r="T98" s="37" t="inlineStr">
        <is>
          <t>작업자5</t>
        </is>
      </c>
    </row>
    <row r="99">
      <c r="A99" s="39">
        <f>IFERROR(INDEX('시나리오'!$G$5:$G$11,MATCH($T99,'시나리오'!$L$5:$L$11,0)),$T99)</f>
        <v/>
      </c>
      <c r="B99" s="39" t="inlineStr">
        <is>
          <t>RPT-098</t>
        </is>
      </c>
      <c r="C99" s="40" t="inlineStr">
        <is>
          <t>결과지(출력물)</t>
        </is>
      </c>
      <c r="D99" s="40" t="inlineStr">
        <is>
          <t>N. 페이지네이션</t>
        </is>
      </c>
      <c r="E99" s="39" t="inlineStr">
        <is>
          <t>P1</t>
        </is>
      </c>
      <c r="F99" s="40" t="inlineStr">
        <is>
          <t>N4 블록 중간 잘림 없음</t>
        </is>
      </c>
      <c r="G99" s="40" t="inlineStr">
        <is>
          <t>샘플 자소서가 접수→분석→결과지까지 완료(매니저 화면에 분석값 확인 가능)</t>
        </is>
      </c>
      <c r="H99" s="40" t="inlineStr">
        <is>
          <t>헤드리스 브라우저로 렌더 후 크기·bbox·overflow 측정</t>
        </is>
      </c>
      <c r="I99" s="40" t="inlineStr">
        <is>
          <t>-</t>
        </is>
      </c>
      <c r="J99" s="40" t="inlineStr">
        <is>
          <t>어떤 .blk도 페이지 경계에서 분리되지 않음(한 블록=한 페이지 내)</t>
        </is>
      </c>
      <c r="K99" s="39" t="inlineStr"/>
      <c r="L99" s="40" t="inlineStr"/>
      <c r="M99" s="40" t="inlineStr"/>
      <c r="N99" s="40" t="inlineStr"/>
      <c r="O99" s="39" t="inlineStr"/>
      <c r="P99" s="39" t="inlineStr"/>
      <c r="Q99" s="39" t="inlineStr"/>
      <c r="R99" s="40" t="inlineStr">
        <is>
          <t>[렌더측정]</t>
        </is>
      </c>
      <c r="S99" s="39" t="inlineStr">
        <is>
          <t>공통</t>
        </is>
      </c>
      <c r="T99" s="39" t="inlineStr">
        <is>
          <t>작업자6</t>
        </is>
      </c>
    </row>
    <row r="100">
      <c r="A100" s="37">
        <f>IFERROR(INDEX('시나리오'!$G$5:$G$11,MATCH($T100,'시나리오'!$L$5:$L$11,0)),$T100)</f>
        <v/>
      </c>
      <c r="B100" s="37" t="inlineStr">
        <is>
          <t>RPT-099</t>
        </is>
      </c>
      <c r="C100" s="38" t="inlineStr">
        <is>
          <t>결과지(출력물)</t>
        </is>
      </c>
      <c r="D100" s="38" t="inlineStr">
        <is>
          <t>O. 오버플로·레이아웃</t>
        </is>
      </c>
      <c r="E100" s="37" t="inlineStr">
        <is>
          <t>P1</t>
        </is>
      </c>
      <c r="F100" s="38" t="inlineStr">
        <is>
          <t>O1 콘텐츠 넘침 없음</t>
        </is>
      </c>
      <c r="G100" s="38" t="inlineStr">
        <is>
          <t>샘플 자소서가 접수→분석→결과지까지 완료(매니저 화면에 분석값 확인 가능)</t>
        </is>
      </c>
      <c r="H100" s="38" t="inlineStr">
        <is>
          <t>헤드리스 브라우저로 렌더 후 크기·bbox·overflow 측정</t>
        </is>
      </c>
      <c r="I100" s="38" t="inlineStr">
        <is>
          <t>-</t>
        </is>
      </c>
      <c r="J100" s="38" t="inlineStr">
        <is>
          <t>각 .page 자식 콘텐츠가 1399px 초과 안 함(최하단 요소 bottom ≤ 페이지 bottom)</t>
        </is>
      </c>
      <c r="K100" s="37" t="inlineStr"/>
      <c r="L100" s="38" t="inlineStr"/>
      <c r="M100" s="38" t="inlineStr"/>
      <c r="N100" s="38" t="inlineStr"/>
      <c r="O100" s="37" t="inlineStr"/>
      <c r="P100" s="37" t="inlineStr"/>
      <c r="Q100" s="37" t="inlineStr"/>
      <c r="R100" s="38" t="inlineStr">
        <is>
          <t>[렌더측정]</t>
        </is>
      </c>
      <c r="S100" s="37" t="inlineStr">
        <is>
          <t>공통</t>
        </is>
      </c>
      <c r="T100" s="37" t="inlineStr">
        <is>
          <t>작업자7</t>
        </is>
      </c>
    </row>
    <row r="101">
      <c r="A101" s="39">
        <f>IFERROR(INDEX('시나리오'!$G$5:$G$11,MATCH($T101,'시나리오'!$L$5:$L$11,0)),$T101)</f>
        <v/>
      </c>
      <c r="B101" s="39" t="inlineStr">
        <is>
          <t>RPT-100</t>
        </is>
      </c>
      <c r="C101" s="40" t="inlineStr">
        <is>
          <t>결과지(출력물)</t>
        </is>
      </c>
      <c r="D101" s="40" t="inlineStr">
        <is>
          <t>O. 오버플로·레이아웃</t>
        </is>
      </c>
      <c r="E101" s="39" t="inlineStr">
        <is>
          <t>P1</t>
        </is>
      </c>
      <c r="F101" s="40" t="inlineStr">
        <is>
          <t>O2 P1 고정 영역 미초과</t>
        </is>
      </c>
      <c r="G101" s="40" t="inlineStr">
        <is>
          <t>샘플 자소서가 접수→분석→결과지까지 완료(매니저 화면에 분석값 확인 가능)</t>
        </is>
      </c>
      <c r="H101" s="40" t="inlineStr">
        <is>
          <t>헤드리스 브라우저로 렌더 후 크기·bbox·overflow 측정</t>
        </is>
      </c>
      <c r="I101" s="40" t="inlineStr">
        <is>
          <t>-</t>
        </is>
      </c>
      <c r="J101" s="40" t="inlineStr">
        <is>
          <t>헤더+카드+요약이 정해진 높이를 넘지 않아 하단 2단 콘텐츠가 잘리지 않음</t>
        </is>
      </c>
      <c r="K101" s="39" t="inlineStr"/>
      <c r="L101" s="40" t="inlineStr"/>
      <c r="M101" s="40" t="inlineStr"/>
      <c r="N101" s="40" t="inlineStr"/>
      <c r="O101" s="39" t="inlineStr"/>
      <c r="P101" s="39" t="inlineStr"/>
      <c r="Q101" s="39" t="inlineStr"/>
      <c r="R101" s="40" t="inlineStr">
        <is>
          <t>[렌더측정]</t>
        </is>
      </c>
      <c r="S101" s="39" t="inlineStr">
        <is>
          <t>공통</t>
        </is>
      </c>
      <c r="T101" s="39" t="inlineStr">
        <is>
          <t>작업자1</t>
        </is>
      </c>
    </row>
    <row r="102">
      <c r="A102" s="37">
        <f>IFERROR(INDEX('시나리오'!$G$5:$G$11,MATCH($T102,'시나리오'!$L$5:$L$11,0)),$T102)</f>
        <v/>
      </c>
      <c r="B102" s="37" t="inlineStr">
        <is>
          <t>RPT-101</t>
        </is>
      </c>
      <c r="C102" s="38" t="inlineStr">
        <is>
          <t>결과지(출력물)</t>
        </is>
      </c>
      <c r="D102" s="38" t="inlineStr">
        <is>
          <t>O. 오버플로·레이아웃</t>
        </is>
      </c>
      <c r="E102" s="37" t="inlineStr">
        <is>
          <t>P1</t>
        </is>
      </c>
      <c r="F102" s="38" t="inlineStr">
        <is>
          <t>O3 고정 높이 카드 유지</t>
        </is>
      </c>
      <c r="G102" s="38" t="inlineStr">
        <is>
          <t>샘플 자소서가 접수→분석→결과지까지 완료(매니저 화면에 분석값 확인 가능)</t>
        </is>
      </c>
      <c r="H102" s="38" t="inlineStr">
        <is>
          <t>헤드리스 브라우저로 렌더 후 크기·bbox·overflow 측정</t>
        </is>
      </c>
      <c r="I102" s="38" t="inlineStr">
        <is>
          <t>-</t>
        </is>
      </c>
      <c r="J102" s="38" t="inlineStr">
        <is>
          <t>.jma·.chart-card 444px 고정(눌리거나 늘어나지 않음)</t>
        </is>
      </c>
      <c r="K102" s="37" t="inlineStr"/>
      <c r="L102" s="38" t="inlineStr"/>
      <c r="M102" s="38" t="inlineStr"/>
      <c r="N102" s="38" t="inlineStr"/>
      <c r="O102" s="37" t="inlineStr"/>
      <c r="P102" s="37" t="inlineStr"/>
      <c r="Q102" s="37" t="inlineStr"/>
      <c r="R102" s="38" t="inlineStr">
        <is>
          <t>[렌더측정]</t>
        </is>
      </c>
      <c r="S102" s="37" t="inlineStr">
        <is>
          <t>공통</t>
        </is>
      </c>
      <c r="T102" s="37" t="inlineStr">
        <is>
          <t>작업자2</t>
        </is>
      </c>
    </row>
    <row r="103">
      <c r="A103" s="39">
        <f>IFERROR(INDEX('시나리오'!$G$5:$G$11,MATCH($T103,'시나리오'!$L$5:$L$11,0)),$T103)</f>
        <v/>
      </c>
      <c r="B103" s="39" t="inlineStr">
        <is>
          <t>RPT-102</t>
        </is>
      </c>
      <c r="C103" s="40" t="inlineStr">
        <is>
          <t>결과지(출력물)</t>
        </is>
      </c>
      <c r="D103" s="40" t="inlineStr">
        <is>
          <t>O. 오버플로·레이아웃</t>
        </is>
      </c>
      <c r="E103" s="39" t="inlineStr">
        <is>
          <t>P1</t>
        </is>
      </c>
      <c r="F103" s="40" t="inlineStr">
        <is>
          <t>O4 텍스트 잘림 없음</t>
        </is>
      </c>
      <c r="G103" s="40" t="inlineStr">
        <is>
          <t>샘플 자소서가 접수→분석→결과지까지 완료(매니저 화면에 분석값 확인 가능)</t>
        </is>
      </c>
      <c r="H103" s="40" t="inlineStr">
        <is>
          <t>헤드리스 브라우저로 렌더 후 크기·bbox·overflow 측정</t>
        </is>
      </c>
      <c r="I103" s="40" t="inlineStr">
        <is>
          <t>-</t>
        </is>
      </c>
      <c r="J103" s="40" t="inlineStr">
        <is>
          <t>헤드라인·문항 제목·근거문장·코멘트가 …/클리핑 없이 전체 노출</t>
        </is>
      </c>
      <c r="K103" s="39" t="inlineStr"/>
      <c r="L103" s="40" t="inlineStr"/>
      <c r="M103" s="40" t="inlineStr"/>
      <c r="N103" s="40" t="inlineStr"/>
      <c r="O103" s="39" t="inlineStr"/>
      <c r="P103" s="39" t="inlineStr"/>
      <c r="Q103" s="39" t="inlineStr"/>
      <c r="R103" s="40" t="inlineStr">
        <is>
          <t>[렌더측정]</t>
        </is>
      </c>
      <c r="S103" s="39" t="inlineStr">
        <is>
          <t>공통</t>
        </is>
      </c>
      <c r="T103" s="39" t="inlineStr">
        <is>
          <t>작업자3</t>
        </is>
      </c>
    </row>
    <row r="104">
      <c r="A104" s="37">
        <f>IFERROR(INDEX('시나리오'!$G$5:$G$11,MATCH($T104,'시나리오'!$L$5:$L$11,0)),$T104)</f>
        <v/>
      </c>
      <c r="B104" s="37" t="inlineStr">
        <is>
          <t>RPT-103</t>
        </is>
      </c>
      <c r="C104" s="38" t="inlineStr">
        <is>
          <t>결과지(출력물)</t>
        </is>
      </c>
      <c r="D104" s="38" t="inlineStr">
        <is>
          <t>O. 오버플로·레이아웃</t>
        </is>
      </c>
      <c r="E104" s="37" t="inlineStr">
        <is>
          <t>P3</t>
        </is>
      </c>
      <c r="F104" s="38" t="inlineStr">
        <is>
          <t>O5 막대·점·칩 영역 내</t>
        </is>
      </c>
      <c r="G104" s="38" t="inlineStr">
        <is>
          <t>샘플 자소서가 접수→분석→결과지까지 완료(매니저 화면에 분석값 확인 가능)</t>
        </is>
      </c>
      <c r="H104" s="38" t="inlineStr">
        <is>
          <t>스크린샷으로 육안 확인(필요 시 diff)</t>
        </is>
      </c>
      <c r="I104" s="38" t="inlineStr">
        <is>
          <t>-</t>
        </is>
      </c>
      <c r="J104" s="38" t="inlineStr">
        <is>
          <t>cbar 점이 트랙 밖으로, 등급칩이 셀 밖으로 튀지 않음</t>
        </is>
      </c>
      <c r="K104" s="37" t="inlineStr"/>
      <c r="L104" s="38" t="inlineStr"/>
      <c r="M104" s="38" t="inlineStr"/>
      <c r="N104" s="38" t="inlineStr"/>
      <c r="O104" s="37" t="inlineStr"/>
      <c r="P104" s="37" t="inlineStr"/>
      <c r="Q104" s="37" t="inlineStr"/>
      <c r="R104" s="38" t="inlineStr">
        <is>
          <t>[육안]</t>
        </is>
      </c>
      <c r="S104" s="37" t="inlineStr">
        <is>
          <t>공통</t>
        </is>
      </c>
      <c r="T104" s="37" t="inlineStr">
        <is>
          <t>작업자4</t>
        </is>
      </c>
    </row>
    <row r="105">
      <c r="A105" s="39">
        <f>IFERROR(INDEX('시나리오'!$G$5:$G$11,MATCH($T105,'시나리오'!$L$5:$L$11,0)),$T105)</f>
        <v/>
      </c>
      <c r="B105" s="39" t="inlineStr">
        <is>
          <t>RPT-104</t>
        </is>
      </c>
      <c r="C105" s="40" t="inlineStr">
        <is>
          <t>결과지(출력물)</t>
        </is>
      </c>
      <c r="D105" s="40" t="inlineStr">
        <is>
          <t>O. 오버플로·레이아웃</t>
        </is>
      </c>
      <c r="E105" s="39" t="inlineStr">
        <is>
          <t>P3</t>
        </is>
      </c>
      <c r="F105" s="40" t="inlineStr">
        <is>
          <t>O6 2열 그리드 정렬</t>
        </is>
      </c>
      <c r="G105" s="40" t="inlineStr">
        <is>
          <t>샘플 자소서가 접수→분석→결과지까지 완료(매니저 화면에 분석값 확인 가능)</t>
        </is>
      </c>
      <c r="H105" s="40" t="inlineStr">
        <is>
          <t>스크린샷으로 육안 확인(필요 시 diff)</t>
        </is>
      </c>
      <c r="I105" s="40" t="inlineStr">
        <is>
          <t>-</t>
        </is>
      </c>
      <c r="J105" s="40" t="inlineStr">
        <is>
          <t>.srow/.wrow 2열이 깨지지 않고 라벨-칩이 같은 기준선 정렬</t>
        </is>
      </c>
      <c r="K105" s="39" t="inlineStr"/>
      <c r="L105" s="40" t="inlineStr"/>
      <c r="M105" s="40" t="inlineStr"/>
      <c r="N105" s="40" t="inlineStr"/>
      <c r="O105" s="39" t="inlineStr"/>
      <c r="P105" s="39" t="inlineStr"/>
      <c r="Q105" s="39" t="inlineStr"/>
      <c r="R105" s="40" t="inlineStr">
        <is>
          <t>[육안]</t>
        </is>
      </c>
      <c r="S105" s="39" t="inlineStr">
        <is>
          <t>공통</t>
        </is>
      </c>
      <c r="T105" s="39" t="inlineStr">
        <is>
          <t>작업자5</t>
        </is>
      </c>
    </row>
    <row r="106">
      <c r="A106" s="37">
        <f>IFERROR(INDEX('시나리오'!$G$5:$G$11,MATCH($T106,'시나리오'!$L$5:$L$11,0)),$T106)</f>
        <v/>
      </c>
      <c r="B106" s="37" t="inlineStr">
        <is>
          <t>RPT-105</t>
        </is>
      </c>
      <c r="C106" s="38" t="inlineStr">
        <is>
          <t>결과지(출력물)</t>
        </is>
      </c>
      <c r="D106" s="38" t="inlineStr">
        <is>
          <t>O. 오버플로·레이아웃</t>
        </is>
      </c>
      <c r="E106" s="37" t="inlineStr">
        <is>
          <t>P3</t>
        </is>
      </c>
      <c r="F106" s="38" t="inlineStr">
        <is>
          <t>O7 빈 칸 보정행 자연스러움</t>
        </is>
      </c>
      <c r="G106" s="38" t="inlineStr">
        <is>
          <t>샘플 자소서가 접수→분석→결과지까지 완료(매니저 화면에 분석값 확인 가능)</t>
        </is>
      </c>
      <c r="H106" s="38" t="inlineStr">
        <is>
          <t>스크린샷으로 육안 확인(필요 시 diff)</t>
        </is>
      </c>
      <c r="I106" s="38" t="inlineStr">
        <is>
          <t>-</t>
        </is>
      </c>
      <c r="J106" s="38" t="inlineStr">
        <is>
          <t>직무역량 홀수 항목 시 추가된 빈 행에 잔여 테두리/이상 여백 없음</t>
        </is>
      </c>
      <c r="K106" s="37" t="inlineStr"/>
      <c r="L106" s="38" t="inlineStr"/>
      <c r="M106" s="38" t="inlineStr"/>
      <c r="N106" s="38" t="inlineStr"/>
      <c r="O106" s="37" t="inlineStr"/>
      <c r="P106" s="37" t="inlineStr"/>
      <c r="Q106" s="37" t="inlineStr"/>
      <c r="R106" s="38" t="inlineStr">
        <is>
          <t>[육안]</t>
        </is>
      </c>
      <c r="S106" s="37" t="inlineStr">
        <is>
          <t>공통</t>
        </is>
      </c>
      <c r="T106" s="37" t="inlineStr">
        <is>
          <t>작업자6</t>
        </is>
      </c>
    </row>
    <row r="107">
      <c r="A107" s="39">
        <f>IFERROR(INDEX('시나리오'!$G$5:$G$11,MATCH($T107,'시나리오'!$L$5:$L$11,0)),$T107)</f>
        <v/>
      </c>
      <c r="B107" s="39" t="inlineStr">
        <is>
          <t>RPT-106</t>
        </is>
      </c>
      <c r="C107" s="40" t="inlineStr">
        <is>
          <t>결과지(출력물)</t>
        </is>
      </c>
      <c r="D107" s="40" t="inlineStr">
        <is>
          <t>P. 폰트·인코딩·표기</t>
        </is>
      </c>
      <c r="E107" s="39" t="inlineStr">
        <is>
          <t>P2</t>
        </is>
      </c>
      <c r="F107" s="40" t="inlineStr">
        <is>
          <t>P1 폰트 로드 정상</t>
        </is>
      </c>
      <c r="G107" s="40" t="inlineStr">
        <is>
          <t>샘플 자소서가 접수→분석→결과지까지 완료(매니저 화면에 분석값 확인 가능)</t>
        </is>
      </c>
      <c r="H107" s="40" t="inlineStr">
        <is>
          <t>헤드리스 브라우저로 렌더 후 크기·bbox·overflow 측정</t>
        </is>
      </c>
      <c r="I107" s="40" t="inlineStr">
        <is>
          <t>-</t>
        </is>
      </c>
      <c r="J107" s="40" t="inlineStr">
        <is>
          <t>Noto Sans KR/Noto Sans &lt;link&gt; 정상, 숫자에 .num(Noto Sans) 적용</t>
        </is>
      </c>
      <c r="K107" s="39" t="inlineStr"/>
      <c r="L107" s="40" t="inlineStr"/>
      <c r="M107" s="40" t="inlineStr"/>
      <c r="N107" s="40" t="inlineStr"/>
      <c r="O107" s="39" t="inlineStr"/>
      <c r="P107" s="39" t="inlineStr"/>
      <c r="Q107" s="39" t="inlineStr"/>
      <c r="R107" s="40" t="inlineStr">
        <is>
          <t>[렌더측정]</t>
        </is>
      </c>
      <c r="S107" s="39" t="inlineStr">
        <is>
          <t>공통</t>
        </is>
      </c>
      <c r="T107" s="39" t="inlineStr">
        <is>
          <t>작업자7</t>
        </is>
      </c>
    </row>
    <row r="108">
      <c r="A108" s="37">
        <f>IFERROR(INDEX('시나리오'!$G$5:$G$11,MATCH($T108,'시나리오'!$L$5:$L$11,0)),$T108)</f>
        <v/>
      </c>
      <c r="B108" s="37" t="inlineStr">
        <is>
          <t>RPT-107</t>
        </is>
      </c>
      <c r="C108" s="38" t="inlineStr">
        <is>
          <t>결과지(출력물)</t>
        </is>
      </c>
      <c r="D108" s="38" t="inlineStr">
        <is>
          <t>P. 폰트·인코딩·표기</t>
        </is>
      </c>
      <c r="E108" s="37" t="inlineStr">
        <is>
          <t>P1</t>
        </is>
      </c>
      <c r="F108" s="38" t="inlineStr">
        <is>
          <t>P2 한글 깨짐 없음</t>
        </is>
      </c>
      <c r="G108" s="38" t="inlineStr">
        <is>
          <t>샘플 자소서가 접수→분석→결과지까지 완료(매니저 화면에 분석값 확인 가능)</t>
        </is>
      </c>
      <c r="H108" s="38" t="inlineStr">
        <is>
          <t>HTML 텍스트·구조를 regex/DOM 카운트로 검사</t>
        </is>
      </c>
      <c r="I108" s="38" t="inlineStr">
        <is>
          <t>-</t>
        </is>
      </c>
      <c r="J108" s="38" t="inlineStr">
        <is>
          <t>&lt;meta charset='UTF-8'&gt;, 모지바케·물음표박스 0건</t>
        </is>
      </c>
      <c r="K108" s="37" t="inlineStr"/>
      <c r="L108" s="38" t="inlineStr"/>
      <c r="M108" s="38" t="inlineStr"/>
      <c r="N108" s="38" t="inlineStr"/>
      <c r="O108" s="37" t="inlineStr"/>
      <c r="P108" s="37" t="inlineStr"/>
      <c r="Q108" s="37" t="inlineStr"/>
      <c r="R108" s="38" t="inlineStr">
        <is>
          <t>[정적검사]</t>
        </is>
      </c>
      <c r="S108" s="37" t="inlineStr">
        <is>
          <t>공통</t>
        </is>
      </c>
      <c r="T108" s="37" t="inlineStr">
        <is>
          <t>작업자1</t>
        </is>
      </c>
    </row>
    <row r="109">
      <c r="A109" s="39">
        <f>IFERROR(INDEX('시나리오'!$G$5:$G$11,MATCH($T109,'시나리오'!$L$5:$L$11,0)),$T109)</f>
        <v/>
      </c>
      <c r="B109" s="39" t="inlineStr">
        <is>
          <t>RPT-108</t>
        </is>
      </c>
      <c r="C109" s="40" t="inlineStr">
        <is>
          <t>결과지(출력물)</t>
        </is>
      </c>
      <c r="D109" s="40" t="inlineStr">
        <is>
          <t>P. 폰트·인코딩·표기</t>
        </is>
      </c>
      <c r="E109" s="39" t="inlineStr">
        <is>
          <t>P3</t>
        </is>
      </c>
      <c r="F109" s="40" t="inlineStr">
        <is>
          <t>P3 글자 깨짐(tofu) 없음</t>
        </is>
      </c>
      <c r="G109" s="40" t="inlineStr">
        <is>
          <t>샘플 자소서가 접수→분석→결과지까지 완료(매니저 화면에 분석값 확인 가능)</t>
        </is>
      </c>
      <c r="H109" s="40" t="inlineStr">
        <is>
          <t>스크린샷으로 육안 확인(필요 시 diff)</t>
        </is>
      </c>
      <c r="I109" s="40" t="inlineStr">
        <is>
          <t>-</t>
        </is>
      </c>
      <c r="J109" s="40" t="inlineStr">
        <is>
          <t>특수문자(℃·㈜·©·−··) 정상 렌더</t>
        </is>
      </c>
      <c r="K109" s="39" t="inlineStr"/>
      <c r="L109" s="40" t="inlineStr"/>
      <c r="M109" s="40" t="inlineStr"/>
      <c r="N109" s="40" t="inlineStr"/>
      <c r="O109" s="39" t="inlineStr"/>
      <c r="P109" s="39" t="inlineStr"/>
      <c r="Q109" s="39" t="inlineStr"/>
      <c r="R109" s="40" t="inlineStr">
        <is>
          <t>[육안]</t>
        </is>
      </c>
      <c r="S109" s="39" t="inlineStr">
        <is>
          <t>공통</t>
        </is>
      </c>
      <c r="T109" s="39" t="inlineStr">
        <is>
          <t>작업자2</t>
        </is>
      </c>
    </row>
    <row r="110">
      <c r="A110" s="37">
        <f>IFERROR(INDEX('시나리오'!$G$5:$G$11,MATCH($T110,'시나리오'!$L$5:$L$11,0)),$T110)</f>
        <v/>
      </c>
      <c r="B110" s="37" t="inlineStr">
        <is>
          <t>RPT-109</t>
        </is>
      </c>
      <c r="C110" s="38" t="inlineStr">
        <is>
          <t>결과지(출력물)</t>
        </is>
      </c>
      <c r="D110" s="38" t="inlineStr">
        <is>
          <t>P. 폰트·인코딩·표기</t>
        </is>
      </c>
      <c r="E110" s="37" t="inlineStr">
        <is>
          <t>P1</t>
        </is>
      </c>
      <c r="F110" s="38" t="inlineStr">
        <is>
          <t>P4 띄어쓰기/오탈자</t>
        </is>
      </c>
      <c r="G110" s="38" t="inlineStr">
        <is>
          <t>샘플 자소서가 접수→분석→결과지까지 완료(매니저 화면에 분석값 확인 가능)</t>
        </is>
      </c>
      <c r="H110" s="38" t="inlineStr">
        <is>
          <t>HTML 텍스트·구조를 regex/DOM 카운트로 검사</t>
        </is>
      </c>
      <c r="I110" s="38" t="inlineStr">
        <is>
          <t>-</t>
        </is>
      </c>
      <c r="J110" s="38" t="inlineStr">
        <is>
          <t>근거문장·자소서 본문의 어절 중간 공백 오류 점검(예 '반 복한','데 이터'). 한글 1~2음절 뒤 공백+한글 비정상 패턴 스캔</t>
        </is>
      </c>
      <c r="K110" s="37" t="inlineStr"/>
      <c r="L110" s="38" t="inlineStr"/>
      <c r="M110" s="38" t="inlineStr"/>
      <c r="N110" s="38" t="inlineStr"/>
      <c r="O110" s="37" t="inlineStr"/>
      <c r="P110" s="37" t="inlineStr"/>
      <c r="Q110" s="37" t="inlineStr"/>
      <c r="R110" s="38" t="inlineStr">
        <is>
          <t>[정적검사]</t>
        </is>
      </c>
      <c r="S110" s="37" t="inlineStr">
        <is>
          <t>공통</t>
        </is>
      </c>
      <c r="T110" s="37" t="inlineStr">
        <is>
          <t>작업자3</t>
        </is>
      </c>
    </row>
    <row r="111">
      <c r="A111" s="39">
        <f>IFERROR(INDEX('시나리오'!$G$5:$G$11,MATCH($T111,'시나리오'!$L$5:$L$11,0)),$T111)</f>
        <v/>
      </c>
      <c r="B111" s="39" t="inlineStr">
        <is>
          <t>RPT-110</t>
        </is>
      </c>
      <c r="C111" s="40" t="inlineStr">
        <is>
          <t>결과지(출력물)</t>
        </is>
      </c>
      <c r="D111" s="40" t="inlineStr">
        <is>
          <t>P. 폰트·인코딩·표기</t>
        </is>
      </c>
      <c r="E111" s="39" t="inlineStr">
        <is>
          <t>P2</t>
        </is>
      </c>
      <c r="F111" s="40" t="inlineStr">
        <is>
          <t>P5 색상 토큰 일치</t>
        </is>
      </c>
      <c r="G111" s="40" t="inlineStr">
        <is>
          <t>샘플 자소서가 접수→분석→결과지까지 완료(매니저 화면에 분석값 확인 가능)</t>
        </is>
      </c>
      <c r="H111" s="40" t="inlineStr">
        <is>
          <t>HTML 텍스트·구조를 regex/DOM 카운트로 검사</t>
        </is>
      </c>
      <c r="I111" s="40" t="inlineStr">
        <is>
          <t>-</t>
        </is>
      </c>
      <c r="J111" s="40" t="inlineStr">
        <is>
          <t>등급칩·배지·강조색이 BP 토큰과 일치(높음 rgba(0,117,255,0.6)/검토 #d75d00/근거강조 rgba(0,117,255,0.1)/AI의심 #f09000)</t>
        </is>
      </c>
      <c r="K111" s="39" t="inlineStr"/>
      <c r="L111" s="40" t="inlineStr"/>
      <c r="M111" s="40" t="inlineStr"/>
      <c r="N111" s="40" t="inlineStr"/>
      <c r="O111" s="39" t="inlineStr"/>
      <c r="P111" s="39" t="inlineStr"/>
      <c r="Q111" s="39" t="inlineStr"/>
      <c r="R111" s="40" t="inlineStr">
        <is>
          <t>[정적검사]</t>
        </is>
      </c>
      <c r="S111" s="39" t="inlineStr">
        <is>
          <t>공통</t>
        </is>
      </c>
      <c r="T111" s="39" t="inlineStr">
        <is>
          <t>작업자4</t>
        </is>
      </c>
    </row>
    <row r="112">
      <c r="A112" s="37">
        <f>IFERROR(INDEX('시나리오'!$G$5:$G$11,MATCH($T112,'시나리오'!$L$5:$L$11,0)),$T112)</f>
        <v/>
      </c>
      <c r="B112" s="37" t="inlineStr">
        <is>
          <t>RPT-111</t>
        </is>
      </c>
      <c r="C112" s="38" t="inlineStr">
        <is>
          <t>결과지(출력물)</t>
        </is>
      </c>
      <c r="D112" s="38" t="inlineStr">
        <is>
          <t>P. 폰트·인코딩·표기</t>
        </is>
      </c>
      <c r="E112" s="37" t="inlineStr">
        <is>
          <t>P3</t>
        </is>
      </c>
      <c r="F112" s="38" t="inlineStr">
        <is>
          <t>P6 강조 요소 과다 없음</t>
        </is>
      </c>
      <c r="G112" s="38" t="inlineStr">
        <is>
          <t>샘플 자소서가 접수→분석→결과지까지 완료(매니저 화면에 분석값 확인 가능)</t>
        </is>
      </c>
      <c r="H112" s="38" t="inlineStr">
        <is>
          <t>스크린샷으로 육안 확인(필요 시 diff)</t>
        </is>
      </c>
      <c r="I112" s="38" t="inlineStr">
        <is>
          <t>-</t>
        </is>
      </c>
      <c r="J112" s="38" t="inlineStr">
        <is>
          <t>한 페이지 Bold 32px↑ 2개 이내, 색상 강조 3종 이내</t>
        </is>
      </c>
      <c r="K112" s="37" t="inlineStr"/>
      <c r="L112" s="38" t="inlineStr"/>
      <c r="M112" s="38" t="inlineStr"/>
      <c r="N112" s="38" t="inlineStr"/>
      <c r="O112" s="37" t="inlineStr"/>
      <c r="P112" s="37" t="inlineStr"/>
      <c r="Q112" s="37" t="inlineStr"/>
      <c r="R112" s="38" t="inlineStr">
        <is>
          <t>[육안]</t>
        </is>
      </c>
      <c r="S112" s="37" t="inlineStr">
        <is>
          <t>공통</t>
        </is>
      </c>
      <c r="T112" s="37" t="inlineStr">
        <is>
          <t>작업자5</t>
        </is>
      </c>
    </row>
    <row r="113">
      <c r="A113" s="39">
        <f>IFERROR(INDEX('시나리오'!$G$5:$G$11,MATCH($T113,'시나리오'!$L$5:$L$11,0)),$T113)</f>
        <v/>
      </c>
      <c r="B113" s="39" t="inlineStr">
        <is>
          <t>RPT-112</t>
        </is>
      </c>
      <c r="C113" s="40" t="inlineStr">
        <is>
          <t>결과지(출력물)</t>
        </is>
      </c>
      <c r="D113" s="40" t="inlineStr">
        <is>
          <t>Q. 라이선스별 구성</t>
        </is>
      </c>
      <c r="E113" s="39" t="inlineStr">
        <is>
          <t>P1</t>
        </is>
      </c>
      <c r="F113" s="40" t="inlineStr">
        <is>
          <t>Q1 단독: 종합결과 페이지 없음</t>
        </is>
      </c>
      <c r="G113" s="40" t="inlineStr">
        <is>
          <t>샘플 자소서가 접수→분석→결과지까지 완료(매니저 화면에 분석값 확인 가능)</t>
        </is>
      </c>
      <c r="H113" s="40" t="inlineStr">
        <is>
          <t>HTML 텍스트·구조를 regex/DOM 카운트로 검사</t>
        </is>
      </c>
      <c r="I113" s="40" t="inlineStr">
        <is>
          <t>-</t>
        </is>
      </c>
      <c r="J113" s="40" t="inlineStr">
        <is>
          <t>라이선스 단독 사용 시 종합결과 페이지를 사용하지 않음</t>
        </is>
      </c>
      <c r="K113" s="39" t="inlineStr"/>
      <c r="L113" s="40" t="inlineStr"/>
      <c r="M113" s="40" t="inlineStr"/>
      <c r="N113" s="40" t="inlineStr"/>
      <c r="O113" s="39" t="inlineStr"/>
      <c r="P113" s="39" t="inlineStr"/>
      <c r="Q113" s="39" t="inlineStr"/>
      <c r="R113" s="40" t="inlineStr">
        <is>
          <t>[정적검사]</t>
        </is>
      </c>
      <c r="S113" s="39" t="inlineStr">
        <is>
          <t>시나리오</t>
        </is>
      </c>
      <c r="T113" s="39" t="inlineStr">
        <is>
          <t>작업자1</t>
        </is>
      </c>
    </row>
    <row r="114">
      <c r="A114" s="37">
        <f>IFERROR(INDEX('시나리오'!$G$5:$G$11,MATCH($T114,'시나리오'!$L$5:$L$11,0)),$T114)</f>
        <v/>
      </c>
      <c r="B114" s="37" t="inlineStr">
        <is>
          <t>RPT-113</t>
        </is>
      </c>
      <c r="C114" s="38" t="inlineStr">
        <is>
          <t>결과지(출력물)</t>
        </is>
      </c>
      <c r="D114" s="38" t="inlineStr">
        <is>
          <t>Q. 라이선스별 구성</t>
        </is>
      </c>
      <c r="E114" s="37" t="inlineStr">
        <is>
          <t>P1</t>
        </is>
      </c>
      <c r="F114" s="38" t="inlineStr">
        <is>
          <t>Q2 단독: 결과지 상단 응시자 정보</t>
        </is>
      </c>
      <c r="G114" s="38" t="inlineStr">
        <is>
          <t>샘플 자소서가 접수→분석→결과지까지 완료(매니저 화면에 분석값 확인 가능)</t>
        </is>
      </c>
      <c r="H114" s="38" t="inlineStr">
        <is>
          <t>HTML 텍스트·구조를 regex/DOM 카운트로 검사</t>
        </is>
      </c>
      <c r="I114" s="38" t="inlineStr">
        <is>
          <t>-</t>
        </is>
      </c>
      <c r="J114" s="38" t="inlineStr">
        <is>
          <t>라이선스 단독 사용 시 결과지 상단에 응시자 정보 영역을 표현</t>
        </is>
      </c>
      <c r="K114" s="37" t="inlineStr"/>
      <c r="L114" s="38" t="inlineStr"/>
      <c r="M114" s="38" t="inlineStr"/>
      <c r="N114" s="38" t="inlineStr"/>
      <c r="O114" s="37" t="inlineStr"/>
      <c r="P114" s="37" t="inlineStr"/>
      <c r="Q114" s="37" t="inlineStr"/>
      <c r="R114" s="38" t="inlineStr">
        <is>
          <t>[정적검사]</t>
        </is>
      </c>
      <c r="S114" s="37" t="inlineStr">
        <is>
          <t>시나리오</t>
        </is>
      </c>
      <c r="T114" s="37" t="inlineStr">
        <is>
          <t>작업자1</t>
        </is>
      </c>
    </row>
    <row r="115">
      <c r="A115" s="39">
        <f>IFERROR(INDEX('시나리오'!$G$5:$G$11,MATCH($T115,'시나리오'!$L$5:$L$11,0)),$T115)</f>
        <v/>
      </c>
      <c r="B115" s="39" t="inlineStr">
        <is>
          <t>RPT-114</t>
        </is>
      </c>
      <c r="C115" s="40" t="inlineStr">
        <is>
          <t>결과지(출력물)</t>
        </is>
      </c>
      <c r="D115" s="40" t="inlineStr">
        <is>
          <t>Q. 라이선스별 구성</t>
        </is>
      </c>
      <c r="E115" s="39" t="inlineStr">
        <is>
          <t>P1</t>
        </is>
      </c>
      <c r="F115" s="40" t="inlineStr">
        <is>
          <t>Q3 복수(2개+): 종합결과 페이지 사용</t>
        </is>
      </c>
      <c r="G115" s="40" t="inlineStr">
        <is>
          <t>샘플 자소서가 접수→분석→결과지까지 완료(매니저 화면에 분석값 확인 가능)</t>
        </is>
      </c>
      <c r="H115" s="40" t="inlineStr">
        <is>
          <t>HTML 텍스트·구조를 regex/DOM 카운트로 검사</t>
        </is>
      </c>
      <c r="I115" s="40" t="inlineStr">
        <is>
          <t>-</t>
        </is>
      </c>
      <c r="J115" s="40" t="inlineStr">
        <is>
          <t>라이선스 2개 이상 사용 시 종합결과 페이지를 사용</t>
        </is>
      </c>
      <c r="K115" s="39" t="inlineStr"/>
      <c r="L115" s="40" t="inlineStr"/>
      <c r="M115" s="40" t="inlineStr"/>
      <c r="N115" s="40" t="inlineStr"/>
      <c r="O115" s="39" t="inlineStr"/>
      <c r="P115" s="39" t="inlineStr"/>
      <c r="Q115" s="39" t="inlineStr"/>
      <c r="R115" s="40" t="inlineStr">
        <is>
          <t>[정적검사]</t>
        </is>
      </c>
      <c r="S115" s="39" t="inlineStr">
        <is>
          <t>시나리오</t>
        </is>
      </c>
      <c r="T115" s="39" t="inlineStr">
        <is>
          <t>작업자4</t>
        </is>
      </c>
    </row>
    <row r="116">
      <c r="A116" s="37">
        <f>IFERROR(INDEX('시나리오'!$G$5:$G$11,MATCH($T116,'시나리오'!$L$5:$L$11,0)),$T116)</f>
        <v/>
      </c>
      <c r="B116" s="37" t="inlineStr">
        <is>
          <t>RPT-115</t>
        </is>
      </c>
      <c r="C116" s="38" t="inlineStr">
        <is>
          <t>결과지(출력물)</t>
        </is>
      </c>
      <c r="D116" s="38" t="inlineStr">
        <is>
          <t>Q. 라이선스별 구성</t>
        </is>
      </c>
      <c r="E116" s="37" t="inlineStr">
        <is>
          <t>P1</t>
        </is>
      </c>
      <c r="F116" s="38" t="inlineStr">
        <is>
          <t>Q4 복수: 종합결과 상단 응시자 정보</t>
        </is>
      </c>
      <c r="G116" s="38" t="inlineStr">
        <is>
          <t>샘플 자소서가 접수→분석→결과지까지 완료(매니저 화면에 분석값 확인 가능)</t>
        </is>
      </c>
      <c r="H116" s="38" t="inlineStr">
        <is>
          <t>HTML 텍스트·구조를 regex/DOM 카운트로 검사</t>
        </is>
      </c>
      <c r="I116" s="38" t="inlineStr">
        <is>
          <t>-</t>
        </is>
      </c>
      <c r="J116" s="38" t="inlineStr">
        <is>
          <t>종합결과 페이지 상단에 응시자 정보 영역을 표현</t>
        </is>
      </c>
      <c r="K116" s="37" t="inlineStr"/>
      <c r="L116" s="38" t="inlineStr"/>
      <c r="M116" s="38" t="inlineStr"/>
      <c r="N116" s="38" t="inlineStr"/>
      <c r="O116" s="37" t="inlineStr"/>
      <c r="P116" s="37" t="inlineStr"/>
      <c r="Q116" s="37" t="inlineStr"/>
      <c r="R116" s="38" t="inlineStr">
        <is>
          <t>[정적검사]</t>
        </is>
      </c>
      <c r="S116" s="37" t="inlineStr">
        <is>
          <t>시나리오</t>
        </is>
      </c>
      <c r="T116" s="37" t="inlineStr">
        <is>
          <t>작업자4</t>
        </is>
      </c>
    </row>
    <row r="117">
      <c r="A117" s="39">
        <f>IFERROR(INDEX('시나리오'!$G$5:$G$11,MATCH($T117,'시나리오'!$L$5:$L$11,0)),$T117)</f>
        <v/>
      </c>
      <c r="B117" s="39" t="inlineStr">
        <is>
          <t>RPT-116</t>
        </is>
      </c>
      <c r="C117" s="40" t="inlineStr">
        <is>
          <t>결과지(출력물)</t>
        </is>
      </c>
      <c r="D117" s="40" t="inlineStr">
        <is>
          <t>Q. 라이선스별 구성</t>
        </is>
      </c>
      <c r="E117" s="39" t="inlineStr">
        <is>
          <t>P1</t>
        </is>
      </c>
      <c r="F117" s="40" t="inlineStr">
        <is>
          <t>Q5 복수: 종합결과 구성(판정+각 라이선스 요약)</t>
        </is>
      </c>
      <c r="G117" s="40" t="inlineStr">
        <is>
          <t>샘플 자소서가 접수→분석→결과지까지 완료(매니저 화면에 분석값 확인 가능)</t>
        </is>
      </c>
      <c r="H117" s="40" t="inlineStr">
        <is>
          <t>HTML 텍스트·구조를 regex/DOM 카운트로 검사</t>
        </is>
      </c>
      <c r="I117" s="40" t="inlineStr">
        <is>
          <t>-</t>
        </is>
      </c>
      <c r="J117" s="40" t="inlineStr">
        <is>
          <t>종합결과 페이지가 '종합결과 판정 + 각 라이선스 요약 결과'로 구성</t>
        </is>
      </c>
      <c r="K117" s="39" t="inlineStr"/>
      <c r="L117" s="40" t="inlineStr"/>
      <c r="M117" s="40" t="inlineStr"/>
      <c r="N117" s="40" t="inlineStr"/>
      <c r="O117" s="39" t="inlineStr"/>
      <c r="P117" s="39" t="inlineStr"/>
      <c r="Q117" s="39" t="inlineStr"/>
      <c r="R117" s="40" t="inlineStr">
        <is>
          <t>[정적검사]</t>
        </is>
      </c>
      <c r="S117" s="39" t="inlineStr">
        <is>
          <t>시나리오</t>
        </is>
      </c>
      <c r="T117" s="39" t="inlineStr">
        <is>
          <t>작업자4</t>
        </is>
      </c>
    </row>
    <row r="118">
      <c r="A118" s="37">
        <f>IFERROR(INDEX('시나리오'!$G$5:$G$11,MATCH($T118,'시나리오'!$L$5:$L$11,0)),$T118)</f>
        <v/>
      </c>
      <c r="B118" s="37" t="inlineStr">
        <is>
          <t>RPT-117</t>
        </is>
      </c>
      <c r="C118" s="38" t="inlineStr">
        <is>
          <t>결과지(출력물)</t>
        </is>
      </c>
      <c r="D118" s="38" t="inlineStr">
        <is>
          <t>Q. 라이선스별 구성</t>
        </is>
      </c>
      <c r="E118" s="37" t="inlineStr">
        <is>
          <t>P1</t>
        </is>
      </c>
      <c r="F118" s="38" t="inlineStr">
        <is>
          <t>Q6 복수: 종합결과 1페이지 이내</t>
        </is>
      </c>
      <c r="G118" s="38" t="inlineStr">
        <is>
          <t>샘플 자소서가 접수→분석→결과지까지 완료(매니저 화면에 분석값 확인 가능)</t>
        </is>
      </c>
      <c r="H118" s="38" t="inlineStr">
        <is>
          <t>헤드리스 브라우저로 렌더 후 크기·bbox·overflow 측정</t>
        </is>
      </c>
      <c r="I118" s="38" t="inlineStr">
        <is>
          <t>-</t>
        </is>
      </c>
      <c r="J118" s="38" t="inlineStr">
        <is>
          <t>종합결과 페이지가 1페이지를 넘기지 않음</t>
        </is>
      </c>
      <c r="K118" s="37" t="inlineStr"/>
      <c r="L118" s="38" t="inlineStr"/>
      <c r="M118" s="38" t="inlineStr"/>
      <c r="N118" s="38" t="inlineStr"/>
      <c r="O118" s="37" t="inlineStr"/>
      <c r="P118" s="37" t="inlineStr"/>
      <c r="Q118" s="37" t="inlineStr"/>
      <c r="R118" s="38" t="inlineStr">
        <is>
          <t>[렌더측정]</t>
        </is>
      </c>
      <c r="S118" s="37" t="inlineStr">
        <is>
          <t>시나리오</t>
        </is>
      </c>
      <c r="T118" s="37" t="inlineStr">
        <is>
          <t>작업자4</t>
        </is>
      </c>
    </row>
    <row r="119">
      <c r="A119" s="39">
        <f>IFERROR(INDEX('시나리오'!$G$5:$G$11,MATCH($T119,'시나리오'!$L$5:$L$11,0)),$T119)</f>
        <v/>
      </c>
      <c r="B119" s="39" t="inlineStr">
        <is>
          <t>RPT-118</t>
        </is>
      </c>
      <c r="C119" s="40" t="inlineStr">
        <is>
          <t>결과지(출력물)</t>
        </is>
      </c>
      <c r="D119" s="40" t="inlineStr">
        <is>
          <t>Q. 라이선스별 구성</t>
        </is>
      </c>
      <c r="E119" s="39" t="inlineStr">
        <is>
          <t>P1</t>
        </is>
      </c>
      <c r="F119" s="40" t="inlineStr">
        <is>
          <t>Q7 복수: 각 라이선스 결과지 상단 응시자 정보 없음</t>
        </is>
      </c>
      <c r="G119" s="40" t="inlineStr">
        <is>
          <t>샘플 자소서가 접수→분석→결과지까지 완료(매니저 화면에 분석값 확인 가능)</t>
        </is>
      </c>
      <c r="H119" s="40" t="inlineStr">
        <is>
          <t>HTML 텍스트·구조를 regex/DOM 카운트로 검사</t>
        </is>
      </c>
      <c r="I119" s="40" t="inlineStr">
        <is>
          <t>-</t>
        </is>
      </c>
      <c r="J119" s="40" t="inlineStr">
        <is>
          <t>라이선스 2개 이상일 때 각 라이선스 결과지 상단에는 응시자 정보 영역을 표현하지 않음(응시자 정보는 종합결과 페이지에만)</t>
        </is>
      </c>
      <c r="K119" s="39" t="inlineStr"/>
      <c r="L119" s="40" t="inlineStr"/>
      <c r="M119" s="40" t="inlineStr"/>
      <c r="N119" s="40" t="inlineStr"/>
      <c r="O119" s="39" t="inlineStr"/>
      <c r="P119" s="39" t="inlineStr"/>
      <c r="Q119" s="39" t="inlineStr"/>
      <c r="R119" s="40" t="inlineStr">
        <is>
          <t>[정적검사]</t>
        </is>
      </c>
      <c r="S119" s="39" t="inlineStr">
        <is>
          <t>시나리오</t>
        </is>
      </c>
      <c r="T119" s="39" t="inlineStr">
        <is>
          <t>작업자4</t>
        </is>
      </c>
    </row>
    <row r="120">
      <c r="A120" s="37">
        <f>IFERROR(INDEX('시나리오'!$G$5:$G$11,MATCH($T120,'시나리오'!$L$5:$L$11,0)),$T120)</f>
        <v/>
      </c>
      <c r="B120" s="37" t="inlineStr">
        <is>
          <t>RPT-119</t>
        </is>
      </c>
      <c r="C120" s="38" t="inlineStr">
        <is>
          <t>결과지(출력물)</t>
        </is>
      </c>
      <c r="D120" s="38" t="inlineStr">
        <is>
          <t>Q. 라이선스별 구성</t>
        </is>
      </c>
      <c r="E120" s="37" t="inlineStr">
        <is>
          <t>P2</t>
        </is>
      </c>
      <c r="F120" s="38" t="inlineStr">
        <is>
          <t>Q8 단독/복수 표기 차이</t>
        </is>
      </c>
      <c r="G120" s="38" t="inlineStr">
        <is>
          <t>샘플 자소서가 접수→분석→결과지까지 완료(매니저 화면에 분석값 확인 가능)</t>
        </is>
      </c>
      <c r="H120" s="38" t="inlineStr">
        <is>
          <t>기대결과의 규칙대로 기대값을 재계산한 뒤 결과지와 대조</t>
        </is>
      </c>
      <c r="I120" s="38" t="inlineStr">
        <is>
          <t>3단계 분석값(매니저 결과확인 화면)</t>
        </is>
      </c>
      <c r="J120" s="38" t="inlineStr">
        <is>
          <t>종합점수·상위n%·전형 통과 여부 표기가 BP 단독/복수 라이선스에 따라 다름</t>
        </is>
      </c>
      <c r="K120" s="37" t="inlineStr"/>
      <c r="L120" s="38" t="inlineStr"/>
      <c r="M120" s="38" t="inlineStr"/>
      <c r="N120" s="38" t="inlineStr"/>
      <c r="O120" s="37" t="inlineStr"/>
      <c r="P120" s="37" t="inlineStr"/>
      <c r="Q120" s="37" t="inlineStr"/>
      <c r="R120" s="38" t="inlineStr">
        <is>
          <t>[규칙계산]</t>
        </is>
      </c>
      <c r="S120" s="37" t="inlineStr">
        <is>
          <t>시나리오</t>
        </is>
      </c>
      <c r="T120" s="37" t="inlineStr">
        <is>
          <t>작업자4</t>
        </is>
      </c>
    </row>
    <row r="121">
      <c r="A121" s="39">
        <f>IFERROR(INDEX('시나리오'!$G$5:$G$11,MATCH($T121,'시나리오'!$L$5:$L$11,0)),$T121)</f>
        <v/>
      </c>
      <c r="B121" s="39" t="inlineStr">
        <is>
          <t>RPT-120</t>
        </is>
      </c>
      <c r="C121" s="40" t="inlineStr">
        <is>
          <t>결과지(출력물)</t>
        </is>
      </c>
      <c r="D121" s="40" t="inlineStr">
        <is>
          <t>R. 평가요약·지원자현황</t>
        </is>
      </c>
      <c r="E121" s="39" t="inlineStr">
        <is>
          <t>P2</t>
        </is>
      </c>
      <c r="F121" s="40" t="inlineStr">
        <is>
          <t>R1 평가 요약 영역 구성</t>
        </is>
      </c>
      <c r="G121" s="40" t="inlineStr">
        <is>
          <t>샘플 자소서가 접수→분석→결과지까지 완료(매니저 화면에 분석값 확인 가능)</t>
        </is>
      </c>
      <c r="H121" s="40" t="inlineStr">
        <is>
          <t>HTML 텍스트·구조를 regex/DOM 카운트로 검사</t>
        </is>
      </c>
      <c r="I121" s="40" t="inlineStr">
        <is>
          <t>-</t>
        </is>
      </c>
      <c r="J121" s="40" t="inlineStr">
        <is>
          <t>평가 요약 영역에 한 줄 코멘트·자소서 특장점·지원자 현황 막대그래프가 출력</t>
        </is>
      </c>
      <c r="K121" s="39" t="inlineStr"/>
      <c r="L121" s="40" t="inlineStr"/>
      <c r="M121" s="40" t="inlineStr"/>
      <c r="N121" s="40" t="inlineStr"/>
      <c r="O121" s="39" t="inlineStr"/>
      <c r="P121" s="39" t="inlineStr"/>
      <c r="Q121" s="39" t="inlineStr"/>
      <c r="R121" s="40" t="inlineStr">
        <is>
          <t>[정적검사]</t>
        </is>
      </c>
      <c r="S121" s="39" t="inlineStr">
        <is>
          <t>공통</t>
        </is>
      </c>
      <c r="T121" s="39" t="inlineStr">
        <is>
          <t>작업자6</t>
        </is>
      </c>
    </row>
    <row r="122">
      <c r="A122" s="37">
        <f>IFERROR(INDEX('시나리오'!$G$5:$G$11,MATCH($T122,'시나리오'!$L$5:$L$11,0)),$T122)</f>
        <v/>
      </c>
      <c r="B122" s="37" t="inlineStr">
        <is>
          <t>RPT-121</t>
        </is>
      </c>
      <c r="C122" s="38" t="inlineStr">
        <is>
          <t>결과지(출력물)</t>
        </is>
      </c>
      <c r="D122" s="38" t="inlineStr">
        <is>
          <t>R. 평가요약·지원자현황</t>
        </is>
      </c>
      <c r="E122" s="37" t="inlineStr">
        <is>
          <t>P2</t>
        </is>
      </c>
      <c r="F122" s="38" t="inlineStr">
        <is>
          <t>R2 지원자 현황 막대(위치막대)</t>
        </is>
      </c>
      <c r="G122" s="38" t="inlineStr">
        <is>
          <t>샘플 자소서가 접수→분석→결과지까지 완료(매니저 화면에 분석값 확인 가능)</t>
        </is>
      </c>
      <c r="H122" s="38" t="inlineStr">
        <is>
          <t>기대결과의 규칙대로 기대값을 재계산한 뒤 결과지와 대조</t>
        </is>
      </c>
      <c r="I122" s="38" t="inlineStr">
        <is>
          <t>3단계 분석값(매니저 결과확인 화면)</t>
        </is>
      </c>
      <c r="J122" s="38" t="inlineStr">
        <is>
          <t>지원자 현황 막대 = 종합점수/메트릭 아래 위치막대(cbar)로 표현(figma 확인 2026-06-24). C11~C13(막대 위치·범례)으로 검증</t>
        </is>
      </c>
      <c r="K122" s="37" t="inlineStr"/>
      <c r="L122" s="38" t="inlineStr"/>
      <c r="M122" s="38" t="inlineStr"/>
      <c r="N122" s="38" t="inlineStr"/>
      <c r="O122" s="37" t="inlineStr"/>
      <c r="P122" s="37" t="inlineStr"/>
      <c r="Q122" s="37" t="inlineStr"/>
      <c r="R122" s="38" t="inlineStr">
        <is>
          <t>[규칙계산]</t>
        </is>
      </c>
      <c r="S122" s="37" t="inlineStr">
        <is>
          <t>공통</t>
        </is>
      </c>
      <c r="T122" s="37" t="inlineStr">
        <is>
          <t>작업자7</t>
        </is>
      </c>
    </row>
    <row r="123">
      <c r="A123" s="39">
        <f>IFERROR(INDEX('시나리오'!$G$5:$G$11,MATCH($T123,'시나리오'!$L$5:$L$11,0)),$T123)</f>
        <v/>
      </c>
      <c r="B123" s="39" t="inlineStr">
        <is>
          <t>RPT-122</t>
        </is>
      </c>
      <c r="C123" s="40" t="inlineStr">
        <is>
          <t>결과지(출력물)</t>
        </is>
      </c>
      <c r="D123" s="40" t="inlineStr">
        <is>
          <t>S. 전형 통과 여부</t>
        </is>
      </c>
      <c r="E123" s="39" t="inlineStr">
        <is>
          <t>P1</t>
        </is>
      </c>
      <c r="F123" s="40" t="inlineStr">
        <is>
          <t>S1 전형 통과 여부 텍스트</t>
        </is>
      </c>
      <c r="G123" s="40" t="inlineStr">
        <is>
          <t>샘플 자소서가 접수→분석→결과지까지 완료(매니저 화면에 분석값 확인 가능)</t>
        </is>
      </c>
      <c r="H123" s="40" t="inlineStr">
        <is>
          <t>HTML 텍스트·구조를 regex/DOM 카운트로 검사</t>
        </is>
      </c>
      <c r="I123" s="40" t="inlineStr">
        <is>
          <t>-</t>
        </is>
      </c>
      <c r="J123" s="40" t="inlineStr">
        <is>
          <t>'적격/부적격' 대신 '전형 통과 기준'(배수 기준) 텍스트로 표기(AI기본법 표현 준수). 점수 기준 제거됨</t>
        </is>
      </c>
      <c r="K123" s="39" t="inlineStr"/>
      <c r="L123" s="40" t="inlineStr"/>
      <c r="M123" s="40" t="inlineStr"/>
      <c r="N123" s="40" t="inlineStr"/>
      <c r="O123" s="39" t="inlineStr"/>
      <c r="P123" s="39" t="inlineStr"/>
      <c r="Q123" s="39" t="inlineStr"/>
      <c r="R123" s="40" t="inlineStr">
        <is>
          <t>[정적검사]</t>
        </is>
      </c>
      <c r="S123" s="39" t="inlineStr">
        <is>
          <t>시나리오</t>
        </is>
      </c>
      <c r="T123" s="39" t="inlineStr">
        <is>
          <t>작업자1</t>
        </is>
      </c>
    </row>
    <row r="124">
      <c r="A124" s="37">
        <f>IFERROR(INDEX('시나리오'!$G$5:$G$11,MATCH($T124,'시나리오'!$L$5:$L$11,0)),$T124)</f>
        <v/>
      </c>
      <c r="B124" s="37" t="inlineStr">
        <is>
          <t>RPT-123</t>
        </is>
      </c>
      <c r="C124" s="38" t="inlineStr">
        <is>
          <t>결과지(출력물)</t>
        </is>
      </c>
      <c r="D124" s="38" t="inlineStr">
        <is>
          <t>S. 전형 통과 여부</t>
        </is>
      </c>
      <c r="E124" s="37" t="inlineStr">
        <is>
          <t>P1</t>
        </is>
      </c>
      <c r="F124" s="38" t="inlineStr">
        <is>
          <t>S2 상위 n% 표기</t>
        </is>
      </c>
      <c r="G124" s="38" t="inlineStr">
        <is>
          <t>샘플 자소서가 접수→분석→결과지까지 완료(매니저 화면에 분석값 확인 가능)</t>
        </is>
      </c>
      <c r="H124" s="38" t="inlineStr">
        <is>
          <t>기대결과의 규칙대로 기대값을 재계산한 뒤 결과지와 대조</t>
        </is>
      </c>
      <c r="I124" s="38" t="inlineStr">
        <is>
          <t>3단계 분석값(매니저 결과확인 화면)</t>
        </is>
      </c>
      <c r="J124" s="38" t="inlineStr">
        <is>
          <t>BP평가 점수에 직군 내 상위 n%가 동반 표기. 단, 직무별 비교군 10명 이상일 때만(10명 미만 미표기 — 접수화면 안내 기준, E8 연계)</t>
        </is>
      </c>
      <c r="K124" s="37" t="inlineStr"/>
      <c r="L124" s="38" t="inlineStr"/>
      <c r="M124" s="38" t="inlineStr"/>
      <c r="N124" s="38" t="inlineStr"/>
      <c r="O124" s="37" t="inlineStr"/>
      <c r="P124" s="37" t="inlineStr"/>
      <c r="Q124" s="37" t="inlineStr"/>
      <c r="R124" s="38" t="inlineStr">
        <is>
          <t>[규칙계산]</t>
        </is>
      </c>
      <c r="S124" s="37" t="inlineStr">
        <is>
          <t>시나리오</t>
        </is>
      </c>
      <c r="T124" s="37" t="inlineStr">
        <is>
          <t>작업자1</t>
        </is>
      </c>
    </row>
    <row r="125">
      <c r="A125" s="39">
        <f>IFERROR(INDEX('시나리오'!$G$5:$G$11,MATCH($T125,'시나리오'!$L$5:$L$11,0)),$T125)</f>
        <v/>
      </c>
      <c r="B125" s="39" t="inlineStr">
        <is>
          <t>RPT-124</t>
        </is>
      </c>
      <c r="C125" s="40" t="inlineStr">
        <is>
          <t>결과지(출력물)</t>
        </is>
      </c>
      <c r="D125" s="40" t="inlineStr">
        <is>
          <t>S. 전형 통과 여부</t>
        </is>
      </c>
      <c r="E125" s="39" t="inlineStr">
        <is>
          <t>P1</t>
        </is>
      </c>
      <c r="F125" s="40" t="inlineStr">
        <is>
          <t>S3 배수 기준 결과지 표기</t>
        </is>
      </c>
      <c r="G125" s="40" t="inlineStr">
        <is>
          <t>샘플 자소서가 접수→분석→결과지까지 완료(매니저 화면에 분석값 확인 가능)</t>
        </is>
      </c>
      <c r="H125" s="40" t="inlineStr">
        <is>
          <t>기대결과의 규칙대로 기대값을 재계산한 뒤 결과지와 대조</t>
        </is>
      </c>
      <c r="I125" s="40" t="inlineStr">
        <is>
          <t>3단계 분석값(매니저 결과확인 화면)</t>
        </is>
      </c>
      <c r="J125" s="40" t="inlineStr">
        <is>
          <t>접수 '배수 기준' 설정 시: 점수 순위가 (모집인원×배수) 이내면 'N배수 이내'(권장·파랑), 미달이면 'N배수 미만'(검토 필요·주황) 기재(SDS BP콘텐츠상세 3-1)</t>
        </is>
      </c>
      <c r="K125" s="39" t="inlineStr"/>
      <c r="L125" s="40" t="inlineStr"/>
      <c r="M125" s="40" t="inlineStr"/>
      <c r="N125" s="40" t="inlineStr"/>
      <c r="O125" s="39" t="inlineStr"/>
      <c r="P125" s="39" t="inlineStr"/>
      <c r="Q125" s="39" t="inlineStr"/>
      <c r="R125" s="40" t="inlineStr">
        <is>
          <t>[규칙계산]</t>
        </is>
      </c>
      <c r="S125" s="39" t="inlineStr">
        <is>
          <t>시나리오</t>
        </is>
      </c>
      <c r="T125" s="39" t="inlineStr">
        <is>
          <t>작업자3</t>
        </is>
      </c>
    </row>
    <row r="126">
      <c r="A126" s="37">
        <f>IFERROR(INDEX('시나리오'!$G$5:$G$11,MATCH($T126,'시나리오'!$L$5:$L$11,0)),$T126)</f>
        <v/>
      </c>
      <c r="B126" s="37" t="inlineStr">
        <is>
          <t>RPT-125</t>
        </is>
      </c>
      <c r="C126" s="38" t="inlineStr">
        <is>
          <t>결과지(출력물)</t>
        </is>
      </c>
      <c r="D126" s="38" t="inlineStr">
        <is>
          <t>S. 전형 통과 여부</t>
        </is>
      </c>
      <c r="E126" s="37" t="inlineStr">
        <is>
          <t>P1</t>
        </is>
      </c>
      <c r="F126" s="38" t="inlineStr">
        <is>
          <t>S4 BP 점수 기준 미사용(배수 단일)</t>
        </is>
      </c>
      <c r="G126" s="38" t="inlineStr">
        <is>
          <t>샘플 자소서가 접수→분석→결과지까지 완료(매니저 화면에 분석값 확인 가능)</t>
        </is>
      </c>
      <c r="H126" s="38" t="inlineStr">
        <is>
          <t>기대결과의 규칙대로 기대값을 재계산한 뒤 결과지와 대조</t>
        </is>
      </c>
      <c r="I126" s="38" t="inlineStr">
        <is>
          <t>3단계 분석값(매니저 결과확인 화면)</t>
        </is>
      </c>
      <c r="J126" s="38" t="inlineStr">
        <is>
          <t>접수화면에서 BP평가 전형 통과 기준은 '배수 기준' 단일 — '점수 기준' 옵션 제거됨(점수 기준은 RP매칭 부적격 기준에만 존재). 결과지에 BP 점수기준 기반 표기 케이스 없음</t>
        </is>
      </c>
      <c r="K126" s="37" t="inlineStr"/>
      <c r="L126" s="38" t="inlineStr"/>
      <c r="M126" s="38" t="inlineStr"/>
      <c r="N126" s="38" t="inlineStr"/>
      <c r="O126" s="37" t="inlineStr"/>
      <c r="P126" s="37" t="inlineStr"/>
      <c r="Q126" s="37" t="inlineStr"/>
      <c r="R126" s="38" t="inlineStr">
        <is>
          <t>[규칙계산]</t>
        </is>
      </c>
      <c r="S126" s="37" t="inlineStr">
        <is>
          <t>시나리오</t>
        </is>
      </c>
      <c r="T126" s="37" t="inlineStr">
        <is>
          <t>작업자2</t>
        </is>
      </c>
    </row>
    <row r="127">
      <c r="A127" s="39">
        <f>IFERROR(INDEX('시나리오'!$G$5:$G$11,MATCH($T127,'시나리오'!$L$5:$L$11,0)),$T127)</f>
        <v/>
      </c>
      <c r="B127" s="39" t="inlineStr">
        <is>
          <t>RPT-126</t>
        </is>
      </c>
      <c r="C127" s="40" t="inlineStr">
        <is>
          <t>결과지(출력물)</t>
        </is>
      </c>
      <c r="D127" s="40" t="inlineStr">
        <is>
          <t>S. 전형 통과 여부</t>
        </is>
      </c>
      <c r="E127" s="39" t="inlineStr">
        <is>
          <t>P1</t>
        </is>
      </c>
      <c r="F127" s="40" t="inlineStr">
        <is>
          <t>S5 전형통과 판정 출처·위치</t>
        </is>
      </c>
      <c r="G127" s="40" t="inlineStr">
        <is>
          <t>샘플 자소서가 접수→분석→결과지까지 완료(매니저 화면에 분석값 확인 가능)</t>
        </is>
      </c>
      <c r="H127" s="40" t="inlineStr">
        <is>
          <t>기대결과의 규칙대로 기대값을 재계산한 뒤 결과지와 대조</t>
        </is>
      </c>
      <c r="I127" s="40" t="inlineStr">
        <is>
          <t>3단계 분석값(매니저 결과확인 화면)</t>
        </is>
      </c>
      <c r="J127" s="40" t="inlineStr">
        <is>
          <t>기준 점수=단독검사 시 BP(종합)점수, 복수 라이선스 시 '프리즘 종합점수'. 단독→BP결과지에 배수 판정 표기. 복수→종합결과 페이지 상단에만 배수 판정 표기(BP 결과지엔 전형통과 표현 없이 직무 상위 n%만 표시). 접수 배수 기준 미체크(미사용) 시 미표기</t>
        </is>
      </c>
      <c r="K127" s="39" t="inlineStr"/>
      <c r="L127" s="40" t="inlineStr"/>
      <c r="M127" s="40" t="inlineStr"/>
      <c r="N127" s="40" t="inlineStr"/>
      <c r="O127" s="39" t="inlineStr"/>
      <c r="P127" s="39" t="inlineStr"/>
      <c r="Q127" s="39" t="inlineStr"/>
      <c r="R127" s="40" t="inlineStr">
        <is>
          <t>[규칙계산]</t>
        </is>
      </c>
      <c r="S127" s="39" t="inlineStr">
        <is>
          <t>시나리오</t>
        </is>
      </c>
      <c r="T127" s="39" t="inlineStr">
        <is>
          <t>작업자6</t>
        </is>
      </c>
    </row>
    <row r="128">
      <c r="A128" s="37">
        <f>IFERROR(INDEX('시나리오'!$G$5:$G$11,MATCH($T128,'시나리오'!$L$5:$L$11,0)),$T128)</f>
        <v/>
      </c>
      <c r="B128" s="37" t="inlineStr">
        <is>
          <t>RPT-127</t>
        </is>
      </c>
      <c r="C128" s="38" t="inlineStr">
        <is>
          <t>결과지(출력물)</t>
        </is>
      </c>
      <c r="D128" s="38" t="inlineStr">
        <is>
          <t>T. GPK 분석·과금</t>
        </is>
      </c>
      <c r="E128" s="37" t="inlineStr">
        <is>
          <t>P2</t>
        </is>
      </c>
      <c r="F128" s="38" t="inlineStr">
        <is>
          <t>T1 자소서 분석 GPK 기본 노출</t>
        </is>
      </c>
      <c r="G128" s="38" t="inlineStr">
        <is>
          <t>샘플 자소서가 접수→분석→결과지까지 완료(매니저 화면에 분석값 확인 가능)</t>
        </is>
      </c>
      <c r="H128" s="38" t="inlineStr">
        <is>
          <t>HTML 텍스트·구조를 regex/DOM 카운트로 검사</t>
        </is>
      </c>
      <c r="I128" s="38" t="inlineStr">
        <is>
          <t>-</t>
        </is>
      </c>
      <c r="J128" s="38" t="inlineStr">
        <is>
          <t>자기소개서 분석 내용에 GPK 결과(AI 작성률·AI 작성 의심 문장)가 기본 제공</t>
        </is>
      </c>
      <c r="K128" s="37" t="inlineStr"/>
      <c r="L128" s="38" t="inlineStr"/>
      <c r="M128" s="38" t="inlineStr"/>
      <c r="N128" s="38" t="inlineStr"/>
      <c r="O128" s="37" t="inlineStr"/>
      <c r="P128" s="37" t="inlineStr"/>
      <c r="Q128" s="37" t="inlineStr"/>
      <c r="R128" s="38" t="inlineStr">
        <is>
          <t>[정적검사]</t>
        </is>
      </c>
      <c r="S128" s="37" t="inlineStr">
        <is>
          <t>시나리오</t>
        </is>
      </c>
      <c r="T128" s="37" t="inlineStr">
        <is>
          <t>작업자6</t>
        </is>
      </c>
    </row>
    <row r="129">
      <c r="A129" s="39">
        <f>IFERROR(INDEX('시나리오'!$G$5:$G$11,MATCH($T129,'시나리오'!$L$5:$L$11,0)),$T129)</f>
        <v/>
      </c>
      <c r="B129" s="39" t="inlineStr">
        <is>
          <t>RPT-128</t>
        </is>
      </c>
      <c r="C129" s="40" t="inlineStr">
        <is>
          <t>결과지(출력물)</t>
        </is>
      </c>
      <c r="D129" s="40" t="inlineStr">
        <is>
          <t>T. GPK 분석·과금</t>
        </is>
      </c>
      <c r="E129" s="39" t="inlineStr">
        <is>
          <t>P2</t>
        </is>
      </c>
      <c r="F129" s="40" t="inlineStr">
        <is>
          <t>T2 GPK 미선택 고객사 과금 미반영</t>
        </is>
      </c>
      <c r="G129" s="40" t="inlineStr">
        <is>
          <t>샘플 자소서가 접수→분석→결과지까지 완료(매니저 화면에 분석값 확인 가능)</t>
        </is>
      </c>
      <c r="H129" s="40" t="inlineStr">
        <is>
          <t>기대결과의 규칙대로 기대값을 재계산한 뒤 결과지와 대조</t>
        </is>
      </c>
      <c r="I129" s="40" t="inlineStr">
        <is>
          <t>3단계 분석값(매니저 결과확인 화면)</t>
        </is>
      </c>
      <c r="J129" s="40" t="inlineStr">
        <is>
          <t>GPK 라이선스 미선택 고객사도 분석 시 GPK 실행하되 수불부·사용량에 미집계(백엔드/과금 검증)</t>
        </is>
      </c>
      <c r="K129" s="39" t="inlineStr"/>
      <c r="L129" s="40" t="inlineStr"/>
      <c r="M129" s="40" t="inlineStr"/>
      <c r="N129" s="40" t="inlineStr"/>
      <c r="O129" s="39" t="inlineStr"/>
      <c r="P129" s="39" t="inlineStr"/>
      <c r="Q129" s="39" t="inlineStr"/>
      <c r="R129" s="40" t="inlineStr">
        <is>
          <t>[규칙계산]</t>
        </is>
      </c>
      <c r="S129" s="39" t="inlineStr">
        <is>
          <t>시나리오</t>
        </is>
      </c>
      <c r="T129" s="39" t="inlineStr">
        <is>
          <t>작업자6</t>
        </is>
      </c>
    </row>
    <row r="130">
      <c r="A130" s="37">
        <f>IFERROR(INDEX('시나리오'!$G$5:$G$11,MATCH($T130,'시나리오'!$L$5:$L$11,0)),$T130)</f>
        <v/>
      </c>
      <c r="B130" s="37" t="inlineStr">
        <is>
          <t>RPT-129</t>
        </is>
      </c>
      <c r="C130" s="38" t="inlineStr">
        <is>
          <t>결과지(출력물)</t>
        </is>
      </c>
      <c r="D130" s="38" t="inlineStr">
        <is>
          <t>U. 엑셀 결과지</t>
        </is>
      </c>
      <c r="E130" s="37" t="inlineStr">
        <is>
          <t>P1</t>
        </is>
      </c>
      <c r="F130" s="38" t="inlineStr">
        <is>
          <t>U1 전형 통과 여부 텍스트</t>
        </is>
      </c>
      <c r="G130" s="38" t="inlineStr">
        <is>
          <t>샘플 자소서가 접수→분석까지 완료 · 엑셀 결과지 생성됨</t>
        </is>
      </c>
      <c r="H130" s="38" t="inlineStr">
        <is>
          <t>매니저 화면 분석값과 결과지 노출값을 글자·자릿수 단위로 대조</t>
        </is>
      </c>
      <c r="I130" s="38" t="inlineStr">
        <is>
          <t>3단계 분석값(매니저 결과확인 화면)</t>
        </is>
      </c>
      <c r="J130" s="38" t="inlineStr">
        <is>
          <t>엑셀파일 결과지에 변경된 전형 통과 여부 텍스트가 반영</t>
        </is>
      </c>
      <c r="K130" s="37" t="inlineStr"/>
      <c r="L130" s="38" t="inlineStr"/>
      <c r="M130" s="38" t="inlineStr"/>
      <c r="N130" s="38" t="inlineStr"/>
      <c r="O130" s="37" t="inlineStr"/>
      <c r="P130" s="37" t="inlineStr"/>
      <c r="Q130" s="37" t="inlineStr"/>
      <c r="R130" s="38" t="inlineStr">
        <is>
          <t>[데이터대조]</t>
        </is>
      </c>
      <c r="S130" s="37" t="inlineStr">
        <is>
          <t>시나리오</t>
        </is>
      </c>
      <c r="T130" s="37" t="inlineStr">
        <is>
          <t>작업자2</t>
        </is>
      </c>
    </row>
    <row r="131">
      <c r="A131" s="39">
        <f>IFERROR(INDEX('시나리오'!$G$5:$G$11,MATCH($T131,'시나리오'!$L$5:$L$11,0)),$T131)</f>
        <v/>
      </c>
      <c r="B131" s="39" t="inlineStr">
        <is>
          <t>RPT-130</t>
        </is>
      </c>
      <c r="C131" s="40" t="inlineStr">
        <is>
          <t>결과지(출력물)</t>
        </is>
      </c>
      <c r="D131" s="40" t="inlineStr">
        <is>
          <t>U. 엑셀 결과지</t>
        </is>
      </c>
      <c r="E131" s="39" t="inlineStr">
        <is>
          <t>P1</t>
        </is>
      </c>
      <c r="F131" s="40" t="inlineStr">
        <is>
          <t>U2 하드스킬 검출 여부 추가</t>
        </is>
      </c>
      <c r="G131" s="40" t="inlineStr">
        <is>
          <t>샘플 자소서가 접수→분석까지 완료 · 엑셀 결과지 생성됨</t>
        </is>
      </c>
      <c r="H131" s="40" t="inlineStr">
        <is>
          <t>매니저 화면 분석값과 결과지 노출값을 글자·자릿수 단위로 대조</t>
        </is>
      </c>
      <c r="I131" s="40" t="inlineStr">
        <is>
          <t>3단계 분석값(매니저 결과확인 화면)</t>
        </is>
      </c>
      <c r="J131" s="40" t="inlineStr">
        <is>
          <t>엑셀파일 결과지에 하드스킬 검출 여부가 추가 표기</t>
        </is>
      </c>
      <c r="K131" s="39" t="inlineStr"/>
      <c r="L131" s="40" t="inlineStr"/>
      <c r="M131" s="40" t="inlineStr"/>
      <c r="N131" s="40" t="inlineStr"/>
      <c r="O131" s="39" t="inlineStr"/>
      <c r="P131" s="39" t="inlineStr"/>
      <c r="Q131" s="39" t="inlineStr"/>
      <c r="R131" s="40" t="inlineStr">
        <is>
          <t>[데이터대조]</t>
        </is>
      </c>
      <c r="S131" s="39" t="inlineStr">
        <is>
          <t>공통</t>
        </is>
      </c>
      <c r="T131" s="39" t="inlineStr">
        <is>
          <t>작업자1</t>
        </is>
      </c>
    </row>
    <row r="132">
      <c r="A132" s="37">
        <f>IFERROR(INDEX('시나리오'!$G$5:$G$11,MATCH($T132,'시나리오'!$L$5:$L$11,0)),$T132)</f>
        <v/>
      </c>
      <c r="B132" s="37" t="inlineStr">
        <is>
          <t>RPT-131</t>
        </is>
      </c>
      <c r="C132" s="38" t="inlineStr">
        <is>
          <t>결과지(출력물)</t>
        </is>
      </c>
      <c r="D132" s="38" t="inlineStr">
        <is>
          <t>U. 엑셀 결과지</t>
        </is>
      </c>
      <c r="E132" s="37" t="inlineStr">
        <is>
          <t>P2</t>
        </is>
      </c>
      <c r="F132" s="38" t="inlineStr">
        <is>
          <t>U3 점수·등급 원본 일치</t>
        </is>
      </c>
      <c r="G132" s="38" t="inlineStr">
        <is>
          <t>샘플 자소서가 접수→분석까지 완료 · 엑셀 결과지 생성됨</t>
        </is>
      </c>
      <c r="H132" s="38" t="inlineStr">
        <is>
          <t>매니저 화면 분석값과 결과지 노출값을 글자·자릿수 단위로 대조</t>
        </is>
      </c>
      <c r="I132" s="38" t="inlineStr">
        <is>
          <t>3단계 분석값(매니저 결과확인 화면)</t>
        </is>
      </c>
      <c r="J132" s="38" t="inlineStr">
        <is>
          <t>엑셀 결과지 값이 원본 데이터와 일치(누락·혼입 없음)</t>
        </is>
      </c>
      <c r="K132" s="37" t="inlineStr"/>
      <c r="L132" s="38" t="inlineStr"/>
      <c r="M132" s="38" t="inlineStr"/>
      <c r="N132" s="38" t="inlineStr"/>
      <c r="O132" s="37" t="inlineStr"/>
      <c r="P132" s="37" t="inlineStr"/>
      <c r="Q132" s="37" t="inlineStr"/>
      <c r="R132" s="38" t="inlineStr">
        <is>
          <t>[데이터대조]</t>
        </is>
      </c>
      <c r="S132" s="37" t="inlineStr">
        <is>
          <t>공통</t>
        </is>
      </c>
      <c r="T132" s="37" t="inlineStr">
        <is>
          <t>작업자2</t>
        </is>
      </c>
    </row>
    <row r="133">
      <c r="A133" s="39">
        <f>IFERROR(INDEX('시나리오'!$G$5:$G$11,MATCH($T133,'시나리오'!$L$5:$L$11,0)),$T133)</f>
        <v/>
      </c>
      <c r="B133" s="39" t="inlineStr">
        <is>
          <t>RPT-132</t>
        </is>
      </c>
      <c r="C133" s="40" t="inlineStr">
        <is>
          <t>결과지(출력물)</t>
        </is>
      </c>
      <c r="D133" s="40" t="inlineStr">
        <is>
          <t>V. 타 라이선스 페이지</t>
        </is>
      </c>
      <c r="E133" s="39" t="inlineStr">
        <is>
          <t>P2</t>
        </is>
      </c>
      <c r="F133" s="40" t="inlineStr">
        <is>
          <t>V1 비-BP 검사 결과 페이지 렌더 정상</t>
        </is>
      </c>
      <c r="G133" s="40" t="inlineStr">
        <is>
          <t>샘플 자소서가 접수→분석→결과지까지 완료(매니저 화면에 분석값 확인 가능)</t>
        </is>
      </c>
      <c r="H133" s="40" t="inlineStr">
        <is>
          <t>스크린샷으로 육안 확인(필요 시 diff)</t>
        </is>
      </c>
      <c r="I133" s="40" t="inlineStr">
        <is>
          <t>-</t>
        </is>
      </c>
      <c r="J133" s="40" t="inlineStr">
        <is>
          <t>결함·표절·블라인드·GPK 등 BP 외 검사 결과 페이지가 깨짐·잘림·빈 페이지 없이 정상 렌더(4.2에서 콘텐츠 미변경, family 디자인 표현만 적용)</t>
        </is>
      </c>
      <c r="K133" s="39" t="inlineStr"/>
      <c r="L133" s="40" t="inlineStr"/>
      <c r="M133" s="40" t="inlineStr"/>
      <c r="N133" s="40" t="inlineStr"/>
      <c r="O133" s="39" t="inlineStr"/>
      <c r="P133" s="39" t="inlineStr"/>
      <c r="Q133" s="39" t="inlineStr"/>
      <c r="R133" s="40" t="inlineStr">
        <is>
          <t>[육안]</t>
        </is>
      </c>
      <c r="S133" s="39" t="inlineStr">
        <is>
          <t>시나리오</t>
        </is>
      </c>
      <c r="T133" s="39" t="inlineStr">
        <is>
          <t>작업자7</t>
        </is>
      </c>
    </row>
    <row r="134">
      <c r="A134" s="37">
        <f>IFERROR(INDEX('시나리오'!$G$5:$G$11,MATCH($T134,'시나리오'!$L$5:$L$11,0)),$T134)</f>
        <v/>
      </c>
      <c r="B134" s="37" t="inlineStr">
        <is>
          <t>RPT-133</t>
        </is>
      </c>
      <c r="C134" s="38" t="inlineStr">
        <is>
          <t>결과지(출력물)</t>
        </is>
      </c>
      <c r="D134" s="38" t="inlineStr">
        <is>
          <t>V. 타 라이선스 페이지</t>
        </is>
      </c>
      <c r="E134" s="37" t="inlineStr">
        <is>
          <t>P2</t>
        </is>
      </c>
      <c r="F134" s="38" t="inlineStr">
        <is>
          <t>V2 합불 표현 워딩 통일</t>
        </is>
      </c>
      <c r="G134" s="38" t="inlineStr">
        <is>
          <t>샘플 자소서가 접수→분석→결과지까지 완료(매니저 화면에 분석값 확인 가능)</t>
        </is>
      </c>
      <c r="H134" s="38" t="inlineStr">
        <is>
          <t>HTML 텍스트·구조를 regex/DOM 카운트로 검사</t>
        </is>
      </c>
      <c r="I134" s="38" t="inlineStr">
        <is>
          <t>-</t>
        </is>
      </c>
      <c r="J134" s="38" t="inlineStr">
        <is>
          <t>BP·종합결과의 전형통과 표현은 'N배수 이내/미만' 칩으로 표기되고 BP 관련 페이지에 '적격/부적격' 직접표현 없음(AI기본법). 단, RP매칭 부적격 기준 결과 표현은 '부적격' 유지(별개 항목)</t>
        </is>
      </c>
      <c r="K134" s="37" t="inlineStr"/>
      <c r="L134" s="38" t="inlineStr"/>
      <c r="M134" s="38" t="inlineStr"/>
      <c r="N134" s="38" t="inlineStr"/>
      <c r="O134" s="37" t="inlineStr"/>
      <c r="P134" s="37" t="inlineStr"/>
      <c r="Q134" s="37" t="inlineStr"/>
      <c r="R134" s="38" t="inlineStr">
        <is>
          <t>[정적검사]</t>
        </is>
      </c>
      <c r="S134" s="37" t="inlineStr">
        <is>
          <t>시나리오</t>
        </is>
      </c>
      <c r="T134" s="37" t="inlineStr">
        <is>
          <t>작업자7</t>
        </is>
      </c>
    </row>
    <row r="135">
      <c r="A135" s="39">
        <f>IFERROR(INDEX('시나리오'!$G$5:$G$11,MATCH($T135,'시나리오'!$L$5:$L$11,0)),$T135)</f>
        <v/>
      </c>
      <c r="B135" s="39" t="inlineStr">
        <is>
          <t>RPT-134</t>
        </is>
      </c>
      <c r="C135" s="40" t="inlineStr">
        <is>
          <t>결과지(출력물)</t>
        </is>
      </c>
      <c r="D135" s="40" t="inlineStr">
        <is>
          <t>W. 라이선스 조합</t>
        </is>
      </c>
      <c r="E135" s="39" t="inlineStr">
        <is>
          <t>P1</t>
        </is>
      </c>
      <c r="F135" s="40" t="inlineStr">
        <is>
          <t>W1 BP 단독(1종)</t>
        </is>
      </c>
      <c r="G135" s="40" t="inlineStr">
        <is>
          <t>샘플 자소서가 접수→분석→결과지까지 완료(매니저 화면에 분석값 확인 가능)</t>
        </is>
      </c>
      <c r="H135" s="40" t="inlineStr">
        <is>
          <t>HTML 텍스트·구조를 regex/DOM 카운트로 검사</t>
        </is>
      </c>
      <c r="I135" s="40" t="inlineStr">
        <is>
          <t>-</t>
        </is>
      </c>
      <c r="J135" s="40" t="inlineStr">
        <is>
          <t>BP평가만 선택 시: 종합결과 페이지 없음, 결과지 상단 응시자 정보, BP 4.0 콘텐츠 정상 렌더</t>
        </is>
      </c>
      <c r="K135" s="39" t="inlineStr"/>
      <c r="L135" s="40" t="inlineStr"/>
      <c r="M135" s="40" t="inlineStr"/>
      <c r="N135" s="40" t="inlineStr"/>
      <c r="O135" s="39" t="inlineStr"/>
      <c r="P135" s="39" t="inlineStr"/>
      <c r="Q135" s="39" t="inlineStr"/>
      <c r="R135" s="40" t="inlineStr">
        <is>
          <t>[정적검사]</t>
        </is>
      </c>
      <c r="S135" s="39" t="inlineStr">
        <is>
          <t>시나리오</t>
        </is>
      </c>
      <c r="T135" s="39" t="inlineStr">
        <is>
          <t>작업자1</t>
        </is>
      </c>
    </row>
    <row r="136">
      <c r="A136" s="37">
        <f>IFERROR(INDEX('시나리오'!$G$5:$G$11,MATCH($T136,'시나리오'!$L$5:$L$11,0)),$T136)</f>
        <v/>
      </c>
      <c r="B136" s="37" t="inlineStr">
        <is>
          <t>RPT-135</t>
        </is>
      </c>
      <c r="C136" s="38" t="inlineStr">
        <is>
          <t>결과지(출력물)</t>
        </is>
      </c>
      <c r="D136" s="38" t="inlineStr">
        <is>
          <t>W. 라이선스 조합</t>
        </is>
      </c>
      <c r="E136" s="37" t="inlineStr">
        <is>
          <t>P3</t>
        </is>
      </c>
      <c r="F136" s="38" t="inlineStr">
        <is>
          <t>W2 비-BP 단독(1종)</t>
        </is>
      </c>
      <c r="G136" s="38" t="inlineStr">
        <is>
          <t>샘플 자소서가 접수→분석→결과지까지 완료(매니저 화면에 분석값 확인 가능)</t>
        </is>
      </c>
      <c r="H136" s="38" t="inlineStr">
        <is>
          <t>스크린샷으로 육안 확인(필요 시 diff)</t>
        </is>
      </c>
      <c r="I136" s="38" t="inlineStr">
        <is>
          <t>-</t>
        </is>
      </c>
      <c r="J136" s="38" t="inlineStr">
        <is>
          <t>결함/표절/GPK/블라인드/프리즘Q/PAC/RP 중 1종 단독 시: 각 단독 결과지가 종합결과 없이 정상 렌더(현행 유지)</t>
        </is>
      </c>
      <c r="K136" s="37" t="inlineStr"/>
      <c r="L136" s="38" t="inlineStr"/>
      <c r="M136" s="38" t="inlineStr"/>
      <c r="N136" s="38" t="inlineStr"/>
      <c r="O136" s="37" t="inlineStr"/>
      <c r="P136" s="37" t="inlineStr"/>
      <c r="Q136" s="37" t="inlineStr"/>
      <c r="R136" s="38" t="inlineStr">
        <is>
          <t>[육안]</t>
        </is>
      </c>
      <c r="S136" s="37" t="inlineStr">
        <is>
          <t>시나리오</t>
        </is>
      </c>
      <c r="T136" s="37" t="inlineStr">
        <is>
          <t>작업자7</t>
        </is>
      </c>
    </row>
    <row r="137">
      <c r="A137" s="39">
        <f>IFERROR(INDEX('시나리오'!$G$5:$G$11,MATCH($T137,'시나리오'!$L$5:$L$11,0)),$T137)</f>
        <v/>
      </c>
      <c r="B137" s="39" t="inlineStr">
        <is>
          <t>RPT-136</t>
        </is>
      </c>
      <c r="C137" s="40" t="inlineStr">
        <is>
          <t>결과지(출력물)</t>
        </is>
      </c>
      <c r="D137" s="40" t="inlineStr">
        <is>
          <t>W. 라이선스 조합</t>
        </is>
      </c>
      <c r="E137" s="39" t="inlineStr">
        <is>
          <t>P1</t>
        </is>
      </c>
      <c r="F137" s="40" t="inlineStr">
        <is>
          <t>W3 BP+1종(2종)</t>
        </is>
      </c>
      <c r="G137" s="40" t="inlineStr">
        <is>
          <t>샘플 자소서가 접수→분석→결과지까지 완료(매니저 화면에 분석값 확인 가능)</t>
        </is>
      </c>
      <c r="H137" s="40" t="inlineStr">
        <is>
          <t>HTML 텍스트·구조를 regex/DOM 카운트로 검사</t>
        </is>
      </c>
      <c r="I137" s="40" t="inlineStr">
        <is>
          <t>-</t>
        </is>
      </c>
      <c r="J137" s="40" t="inlineStr">
        <is>
          <t>BP+1종(예 BP+표절) 시: 종합결과 페이지 생성(판정+요약 2종), 각 라이선스 결과지 상단 응시자 정보 없음</t>
        </is>
      </c>
      <c r="K137" s="39" t="inlineStr"/>
      <c r="L137" s="40" t="inlineStr"/>
      <c r="M137" s="40" t="inlineStr"/>
      <c r="N137" s="40" t="inlineStr"/>
      <c r="O137" s="39" t="inlineStr"/>
      <c r="P137" s="39" t="inlineStr"/>
      <c r="Q137" s="39" t="inlineStr"/>
      <c r="R137" s="40" t="inlineStr">
        <is>
          <t>[정적검사]</t>
        </is>
      </c>
      <c r="S137" s="39" t="inlineStr">
        <is>
          <t>시나리오</t>
        </is>
      </c>
      <c r="T137" s="39" t="inlineStr">
        <is>
          <t>작업자4</t>
        </is>
      </c>
    </row>
    <row r="138">
      <c r="A138" s="37">
        <f>IFERROR(INDEX('시나리오'!$G$5:$G$11,MATCH($T138,'시나리오'!$L$5:$L$11,0)),$T138)</f>
        <v/>
      </c>
      <c r="B138" s="37" t="inlineStr">
        <is>
          <t>RPT-137</t>
        </is>
      </c>
      <c r="C138" s="38" t="inlineStr">
        <is>
          <t>결과지(출력물)</t>
        </is>
      </c>
      <c r="D138" s="38" t="inlineStr">
        <is>
          <t>W. 라이선스 조합</t>
        </is>
      </c>
      <c r="E138" s="37" t="inlineStr">
        <is>
          <t>P2</t>
        </is>
      </c>
      <c r="F138" s="38" t="inlineStr">
        <is>
          <t>W4 BP+GPK(2종)</t>
        </is>
      </c>
      <c r="G138" s="38" t="inlineStr">
        <is>
          <t>샘플 자소서가 접수→분석→결과지까지 완료(매니저 화면에 분석값 확인 가능)</t>
        </is>
      </c>
      <c r="H138" s="38" t="inlineStr">
        <is>
          <t>기대결과의 규칙대로 기대값을 재계산한 뒤 결과지와 대조</t>
        </is>
      </c>
      <c r="I138" s="38" t="inlineStr">
        <is>
          <t>3단계 분석값(매니저 결과확인 화면)</t>
        </is>
      </c>
      <c r="J138" s="38" t="inlineStr">
        <is>
          <t>BP+GPK 시: 자소서 분석에 AI 작성률·의심문장 임베드, GPK 미선택 고객사 과금 미반영</t>
        </is>
      </c>
      <c r="K138" s="37" t="inlineStr"/>
      <c r="L138" s="38" t="inlineStr"/>
      <c r="M138" s="38" t="inlineStr"/>
      <c r="N138" s="38" t="inlineStr"/>
      <c r="O138" s="37" t="inlineStr"/>
      <c r="P138" s="37" t="inlineStr"/>
      <c r="Q138" s="37" t="inlineStr"/>
      <c r="R138" s="38" t="inlineStr">
        <is>
          <t>[규칙계산]</t>
        </is>
      </c>
      <c r="S138" s="37" t="inlineStr">
        <is>
          <t>시나리오</t>
        </is>
      </c>
      <c r="T138" s="37" t="inlineStr">
        <is>
          <t>작업자6</t>
        </is>
      </c>
    </row>
    <row r="139">
      <c r="A139" s="39">
        <f>IFERROR(INDEX('시나리오'!$G$5:$G$11,MATCH($T139,'시나리오'!$L$5:$L$11,0)),$T139)</f>
        <v/>
      </c>
      <c r="B139" s="39" t="inlineStr">
        <is>
          <t>RPT-138</t>
        </is>
      </c>
      <c r="C139" s="40" t="inlineStr">
        <is>
          <t>결과지(출력물)</t>
        </is>
      </c>
      <c r="D139" s="40" t="inlineStr">
        <is>
          <t>W. 라이선스 조합</t>
        </is>
      </c>
      <c r="E139" s="39" t="inlineStr">
        <is>
          <t>P2</t>
        </is>
      </c>
      <c r="F139" s="40" t="inlineStr">
        <is>
          <t>W5 비-BP 2종</t>
        </is>
      </c>
      <c r="G139" s="40" t="inlineStr">
        <is>
          <t>샘플 자소서가 접수→분석→결과지까지 완료(매니저 화면에 분석값 확인 가능)</t>
        </is>
      </c>
      <c r="H139" s="40" t="inlineStr">
        <is>
          <t>HTML 텍스트·구조를 regex/DOM 카운트로 검사</t>
        </is>
      </c>
      <c r="I139" s="40" t="inlineStr">
        <is>
          <t>-</t>
        </is>
      </c>
      <c r="J139" s="40" t="inlineStr">
        <is>
          <t>BP 없는 2종(예 표절+블라인드) 시: 종합결과 요약에 BP 미포함, 정상 렌더</t>
        </is>
      </c>
      <c r="K139" s="39" t="inlineStr"/>
      <c r="L139" s="40" t="inlineStr"/>
      <c r="M139" s="40" t="inlineStr"/>
      <c r="N139" s="40" t="inlineStr"/>
      <c r="O139" s="39" t="inlineStr"/>
      <c r="P139" s="39" t="inlineStr"/>
      <c r="Q139" s="39" t="inlineStr"/>
      <c r="R139" s="40" t="inlineStr">
        <is>
          <t>[정적검사]</t>
        </is>
      </c>
      <c r="S139" s="39" t="inlineStr">
        <is>
          <t>시나리오</t>
        </is>
      </c>
      <c r="T139" s="39" t="inlineStr">
        <is>
          <t>작업자7</t>
        </is>
      </c>
    </row>
    <row r="140">
      <c r="A140" s="37">
        <f>IFERROR(INDEX('시나리오'!$G$5:$G$11,MATCH($T140,'시나리오'!$L$5:$L$11,0)),$T140)</f>
        <v/>
      </c>
      <c r="B140" s="37" t="inlineStr">
        <is>
          <t>RPT-139</t>
        </is>
      </c>
      <c r="C140" s="38" t="inlineStr">
        <is>
          <t>결과지(출력물)</t>
        </is>
      </c>
      <c r="D140" s="38" t="inlineStr">
        <is>
          <t>W. 라이선스 조합</t>
        </is>
      </c>
      <c r="E140" s="37" t="inlineStr">
        <is>
          <t>P2</t>
        </is>
      </c>
      <c r="F140" s="38" t="inlineStr">
        <is>
          <t>W6 BP+프리즘Q+PAC 중복 확인</t>
        </is>
      </c>
      <c r="G140" s="38" t="inlineStr">
        <is>
          <t>샘플 자소서가 접수→분석→결과지까지 완료(매니저 화면에 분석값 확인 가능)</t>
        </is>
      </c>
      <c r="H140" s="38" t="inlineStr">
        <is>
          <t>기대결과의 규칙대로 기대값을 재계산한 뒤 결과지와 대조</t>
        </is>
      </c>
      <c r="I140" s="38" t="inlineStr">
        <is>
          <t>3단계 분석값(매니저 결과확인 화면)</t>
        </is>
      </c>
      <c r="J140" s="38" t="inlineStr">
        <is>
          <t>프리즘Q(면접질문)·PAC(특장점)을 독립 라이선스로도 선택 시, BP 내부 임베드분과 중복/충돌 없이 표현되는지</t>
        </is>
      </c>
      <c r="K140" s="37" t="inlineStr"/>
      <c r="L140" s="38" t="inlineStr"/>
      <c r="M140" s="38" t="inlineStr"/>
      <c r="N140" s="38" t="inlineStr"/>
      <c r="O140" s="37" t="inlineStr"/>
      <c r="P140" s="37" t="inlineStr"/>
      <c r="Q140" s="37" t="inlineStr"/>
      <c r="R140" s="38" t="inlineStr">
        <is>
          <t>[규칙계산]</t>
        </is>
      </c>
      <c r="S140" s="37" t="inlineStr">
        <is>
          <t>시나리오</t>
        </is>
      </c>
      <c r="T140" s="37" t="inlineStr">
        <is>
          <t>작업자4</t>
        </is>
      </c>
    </row>
    <row r="141">
      <c r="A141" s="39">
        <f>IFERROR(INDEX('시나리오'!$G$5:$G$11,MATCH($T141,'시나리오'!$L$5:$L$11,0)),$T141)</f>
        <v/>
      </c>
      <c r="B141" s="39" t="inlineStr">
        <is>
          <t>RPT-140</t>
        </is>
      </c>
      <c r="C141" s="40" t="inlineStr">
        <is>
          <t>결과지(출력물)</t>
        </is>
      </c>
      <c r="D141" s="40" t="inlineStr">
        <is>
          <t>W. 라이선스 조합</t>
        </is>
      </c>
      <c r="E141" s="39" t="inlineStr">
        <is>
          <t>P2</t>
        </is>
      </c>
      <c r="F141" s="40" t="inlineStr">
        <is>
          <t>W7 BP+3종(4종)</t>
        </is>
      </c>
      <c r="G141" s="40" t="inlineStr">
        <is>
          <t>샘플 자소서가 접수→분석→결과지까지 완료(매니저 화면에 분석값 확인 가능)</t>
        </is>
      </c>
      <c r="H141" s="40" t="inlineStr">
        <is>
          <t>HTML 텍스트·구조를 regex/DOM 카운트로 검사</t>
        </is>
      </c>
      <c r="I141" s="40" t="inlineStr">
        <is>
          <t>-</t>
        </is>
      </c>
      <c r="J141" s="40" t="inlineStr">
        <is>
          <t>BP 포함 4종(예 BP+표절+블라인드+RP) 시: 종합결과 요약 4종 표시, 페이지 정상</t>
        </is>
      </c>
      <c r="K141" s="39" t="inlineStr"/>
      <c r="L141" s="40" t="inlineStr"/>
      <c r="M141" s="40" t="inlineStr"/>
      <c r="N141" s="40" t="inlineStr"/>
      <c r="O141" s="39" t="inlineStr"/>
      <c r="P141" s="39" t="inlineStr"/>
      <c r="Q141" s="39" t="inlineStr"/>
      <c r="R141" s="40" t="inlineStr">
        <is>
          <t>[정적검사]</t>
        </is>
      </c>
      <c r="S141" s="39" t="inlineStr">
        <is>
          <t>시나리오</t>
        </is>
      </c>
      <c r="T141" s="39" t="inlineStr">
        <is>
          <t>작업자5</t>
        </is>
      </c>
    </row>
    <row r="142">
      <c r="A142" s="37">
        <f>IFERROR(INDEX('시나리오'!$G$5:$G$11,MATCH($T142,'시나리오'!$L$5:$L$11,0)),$T142)</f>
        <v/>
      </c>
      <c r="B142" s="37" t="inlineStr">
        <is>
          <t>RPT-141</t>
        </is>
      </c>
      <c r="C142" s="38" t="inlineStr">
        <is>
          <t>결과지(출력물)</t>
        </is>
      </c>
      <c r="D142" s="38" t="inlineStr">
        <is>
          <t>W. 라이선스 조합</t>
        </is>
      </c>
      <c r="E142" s="37" t="inlineStr">
        <is>
          <t>P2</t>
        </is>
      </c>
      <c r="F142" s="38" t="inlineStr">
        <is>
          <t>W8 BP 포함 6종</t>
        </is>
      </c>
      <c r="G142" s="38" t="inlineStr">
        <is>
          <t>샘플 자소서가 접수→분석→결과지까지 완료(매니저 화면에 분석값 확인 가능)</t>
        </is>
      </c>
      <c r="H142" s="38" t="inlineStr">
        <is>
          <t>HTML 텍스트·구조를 regex/DOM 카운트로 검사</t>
        </is>
      </c>
      <c r="I142" s="38" t="inlineStr">
        <is>
          <t>-</t>
        </is>
      </c>
      <c r="J142" s="38" t="inlineStr">
        <is>
          <t>BP 포함 6종 시: 다종 요약·페이지 증가에도 종합결과 구성 정상</t>
        </is>
      </c>
      <c r="K142" s="37" t="inlineStr"/>
      <c r="L142" s="38" t="inlineStr"/>
      <c r="M142" s="38" t="inlineStr"/>
      <c r="N142" s="38" t="inlineStr"/>
      <c r="O142" s="37" t="inlineStr"/>
      <c r="P142" s="37" t="inlineStr"/>
      <c r="Q142" s="37" t="inlineStr"/>
      <c r="R142" s="38" t="inlineStr">
        <is>
          <t>[정적검사]</t>
        </is>
      </c>
      <c r="S142" s="37" t="inlineStr">
        <is>
          <t>시나리오</t>
        </is>
      </c>
      <c r="T142" s="37" t="inlineStr">
        <is>
          <t>작업자5</t>
        </is>
      </c>
    </row>
    <row r="143">
      <c r="A143" s="39">
        <f>IFERROR(INDEX('시나리오'!$G$5:$G$11,MATCH($T143,'시나리오'!$L$5:$L$11,0)),$T143)</f>
        <v/>
      </c>
      <c r="B143" s="39" t="inlineStr">
        <is>
          <t>RPT-142</t>
        </is>
      </c>
      <c r="C143" s="40" t="inlineStr">
        <is>
          <t>결과지(출력물)</t>
        </is>
      </c>
      <c r="D143" s="40" t="inlineStr">
        <is>
          <t>W. 라이선스 조합</t>
        </is>
      </c>
      <c r="E143" s="39" t="inlineStr">
        <is>
          <t>P1</t>
        </is>
      </c>
      <c r="F143" s="40" t="inlineStr">
        <is>
          <t>W9 전체 8종</t>
        </is>
      </c>
      <c r="G143" s="40" t="inlineStr">
        <is>
          <t>샘플 자소서가 접수→분석→결과지까지 완료(매니저 화면에 분석값 확인 가능)</t>
        </is>
      </c>
      <c r="H143" s="40" t="inlineStr">
        <is>
          <t>헤드리스 브라우저로 렌더 후 크기·bbox·overflow 측정</t>
        </is>
      </c>
      <c r="I143" s="40" t="inlineStr">
        <is>
          <t>-</t>
        </is>
      </c>
      <c r="J143" s="40" t="inlineStr">
        <is>
          <t>전체 8종 선택 시: 종합결과 요약 8종, 종합결과 페이지 1페이지 이내 유지(넘침 없음)</t>
        </is>
      </c>
      <c r="K143" s="39" t="inlineStr"/>
      <c r="L143" s="40" t="inlineStr"/>
      <c r="M143" s="40" t="inlineStr"/>
      <c r="N143" s="40" t="inlineStr"/>
      <c r="O143" s="39" t="inlineStr"/>
      <c r="P143" s="39" t="inlineStr"/>
      <c r="Q143" s="39" t="inlineStr"/>
      <c r="R143" s="40" t="inlineStr">
        <is>
          <t>[렌더측정]</t>
        </is>
      </c>
      <c r="S143" s="39" t="inlineStr">
        <is>
          <t>시나리오</t>
        </is>
      </c>
      <c r="T143" s="39" t="inlineStr">
        <is>
          <t>작업자5</t>
        </is>
      </c>
    </row>
    <row r="144">
      <c r="A144" s="37">
        <f>IFERROR(INDEX('시나리오'!$G$5:$G$11,MATCH($T144,'시나리오'!$L$5:$L$11,0)),$T144)</f>
        <v/>
      </c>
      <c r="B144" s="37" t="inlineStr">
        <is>
          <t>RPT-143</t>
        </is>
      </c>
      <c r="C144" s="38" t="inlineStr">
        <is>
          <t>결과지(출력물)</t>
        </is>
      </c>
      <c r="D144" s="38" t="inlineStr">
        <is>
          <t>X. 통합본문</t>
        </is>
      </c>
      <c r="E144" s="37" t="inlineStr">
        <is>
          <t>P1</t>
        </is>
      </c>
      <c r="F144" s="38" t="inlineStr">
        <is>
          <t>X1 통합본문 ON 통합 표시</t>
        </is>
      </c>
      <c r="G144" s="38" t="inlineStr">
        <is>
          <t>샘플 자소서가 접수→분석→결과지까지 완료(매니저 화면에 분석값 확인 가능)</t>
        </is>
      </c>
      <c r="H144" s="38" t="inlineStr">
        <is>
          <t>HTML 텍스트·구조를 regex/DOM 카운트로 검사</t>
        </is>
      </c>
      <c r="I144" s="38" t="inlineStr">
        <is>
          <t>-</t>
        </is>
      </c>
      <c r="J144" s="38" t="inlineStr">
        <is>
          <t>통합본문 ON 시: 선택한 검사(결함·표절·GPK·블라인드·BP·RP 중 선택분)의 근거가 자소서 원문 1부에 통합 하이라이트로 표시</t>
        </is>
      </c>
      <c r="K144" s="37" t="inlineStr"/>
      <c r="L144" s="38" t="inlineStr"/>
      <c r="M144" s="38" t="inlineStr"/>
      <c r="N144" s="38" t="inlineStr"/>
      <c r="O144" s="37" t="inlineStr"/>
      <c r="P144" s="37" t="inlineStr"/>
      <c r="Q144" s="37" t="inlineStr"/>
      <c r="R144" s="38" t="inlineStr">
        <is>
          <t>[정적검사]</t>
        </is>
      </c>
      <c r="S144" s="37" t="inlineStr">
        <is>
          <t>시나리오</t>
        </is>
      </c>
      <c r="T144" s="37" t="inlineStr">
        <is>
          <t>작업자4</t>
        </is>
      </c>
    </row>
    <row r="145">
      <c r="A145" s="39">
        <f>IFERROR(INDEX('시나리오'!$G$5:$G$11,MATCH($T145,'시나리오'!$L$5:$L$11,0)),$T145)</f>
        <v/>
      </c>
      <c r="B145" s="39" t="inlineStr">
        <is>
          <t>RPT-144</t>
        </is>
      </c>
      <c r="C145" s="40" t="inlineStr">
        <is>
          <t>결과지(출력물)</t>
        </is>
      </c>
      <c r="D145" s="40" t="inlineStr">
        <is>
          <t>X. 통합본문</t>
        </is>
      </c>
      <c r="E145" s="39" t="inlineStr">
        <is>
          <t>P1</t>
        </is>
      </c>
      <c r="F145" s="40" t="inlineStr">
        <is>
          <t>X2 통합본문 ON 개별 본문 제거</t>
        </is>
      </c>
      <c r="G145" s="40" t="inlineStr">
        <is>
          <t>샘플 자소서가 접수→분석→결과지까지 완료(매니저 화면에 분석값 확인 가능)</t>
        </is>
      </c>
      <c r="H145" s="40" t="inlineStr">
        <is>
          <t>HTML 텍스트·구조를 regex/DOM 카운트로 검사</t>
        </is>
      </c>
      <c r="I145" s="40" t="inlineStr">
        <is>
          <t>-</t>
        </is>
      </c>
      <c r="J145" s="40" t="inlineStr">
        <is>
          <t>통합본문 ON 시: 개별 검사 페이지에서 자소서 본문이 빠짐(본문 중복 없음)</t>
        </is>
      </c>
      <c r="K145" s="39" t="inlineStr"/>
      <c r="L145" s="40" t="inlineStr"/>
      <c r="M145" s="40" t="inlineStr"/>
      <c r="N145" s="40" t="inlineStr"/>
      <c r="O145" s="39" t="inlineStr"/>
      <c r="P145" s="39" t="inlineStr"/>
      <c r="Q145" s="39" t="inlineStr"/>
      <c r="R145" s="40" t="inlineStr">
        <is>
          <t>[정적검사]</t>
        </is>
      </c>
      <c r="S145" s="39" t="inlineStr">
        <is>
          <t>시나리오</t>
        </is>
      </c>
      <c r="T145" s="39" t="inlineStr">
        <is>
          <t>작업자4</t>
        </is>
      </c>
    </row>
    <row r="146">
      <c r="A146" s="37">
        <f>IFERROR(INDEX('시나리오'!$G$5:$G$11,MATCH($T146,'시나리오'!$L$5:$L$11,0)),$T146)</f>
        <v/>
      </c>
      <c r="B146" s="37" t="inlineStr">
        <is>
          <t>RPT-145</t>
        </is>
      </c>
      <c r="C146" s="38" t="inlineStr">
        <is>
          <t>결과지(출력물)</t>
        </is>
      </c>
      <c r="D146" s="38" t="inlineStr">
        <is>
          <t>X. 통합본문</t>
        </is>
      </c>
      <c r="E146" s="37" t="inlineStr">
        <is>
          <t>P2</t>
        </is>
      </c>
      <c r="F146" s="38" t="inlineStr">
        <is>
          <t>X3 통합본문 OFF</t>
        </is>
      </c>
      <c r="G146" s="38" t="inlineStr">
        <is>
          <t>샘플 자소서가 접수→분석→결과지까지 완료(매니저 화면에 분석값 확인 가능)</t>
        </is>
      </c>
      <c r="H146" s="38" t="inlineStr">
        <is>
          <t>HTML 텍스트·구조를 regex/DOM 카운트로 검사</t>
        </is>
      </c>
      <c r="I146" s="38" t="inlineStr">
        <is>
          <t>-</t>
        </is>
      </c>
      <c r="J146" s="38" t="inlineStr">
        <is>
          <t>통합본문 OFF 시: 개별 검사 페이지에 자소서 본문 포함, 통합본문 페이지 없음</t>
        </is>
      </c>
      <c r="K146" s="37" t="inlineStr"/>
      <c r="L146" s="38" t="inlineStr"/>
      <c r="M146" s="38" t="inlineStr"/>
      <c r="N146" s="38" t="inlineStr"/>
      <c r="O146" s="37" t="inlineStr"/>
      <c r="P146" s="37" t="inlineStr"/>
      <c r="Q146" s="37" t="inlineStr"/>
      <c r="R146" s="38" t="inlineStr">
        <is>
          <t>[정적검사]</t>
        </is>
      </c>
      <c r="S146" s="37" t="inlineStr">
        <is>
          <t>시나리오</t>
        </is>
      </c>
      <c r="T146" s="37" t="inlineStr">
        <is>
          <t>작업자1</t>
        </is>
      </c>
    </row>
    <row r="147">
      <c r="A147" s="39">
        <f>IFERROR(INDEX('시나리오'!$G$5:$G$11,MATCH($T147,'시나리오'!$L$5:$L$11,0)),$T147)</f>
        <v/>
      </c>
      <c r="B147" s="39" t="inlineStr">
        <is>
          <t>RPT-146</t>
        </is>
      </c>
      <c r="C147" s="40" t="inlineStr">
        <is>
          <t>결과지(출력물)</t>
        </is>
      </c>
      <c r="D147" s="40" t="inlineStr">
        <is>
          <t>X. 통합본문</t>
        </is>
      </c>
      <c r="E147" s="39" t="inlineStr">
        <is>
          <t>P1</t>
        </is>
      </c>
      <c r="F147" s="40" t="inlineStr">
        <is>
          <t>X4 선택 검사만 반영</t>
        </is>
      </c>
      <c r="G147" s="40" t="inlineStr">
        <is>
          <t>샘플 자소서가 접수→분석→결과지까지 완료(매니저 화면에 분석값 확인 가능)</t>
        </is>
      </c>
      <c r="H147" s="40" t="inlineStr">
        <is>
          <t>기대결과의 규칙대로 기대값을 재계산한 뒤 결과지와 대조</t>
        </is>
      </c>
      <c r="I147" s="40" t="inlineStr">
        <is>
          <t>3단계 분석값(매니저 결과확인 화면)</t>
        </is>
      </c>
      <c r="J147" s="40" t="inlineStr">
        <is>
          <t>통합본문에 선택한 검사만 표시. 프리즘Q(면접질문)·PAC(요약)은 본문 마킹 검사가 아니라 통합본문 대상 아님</t>
        </is>
      </c>
      <c r="K147" s="39" t="inlineStr"/>
      <c r="L147" s="40" t="inlineStr"/>
      <c r="M147" s="40" t="inlineStr"/>
      <c r="N147" s="40" t="inlineStr"/>
      <c r="O147" s="39" t="inlineStr"/>
      <c r="P147" s="39" t="inlineStr"/>
      <c r="Q147" s="39" t="inlineStr"/>
      <c r="R147" s="40" t="inlineStr">
        <is>
          <t>[규칙계산]</t>
        </is>
      </c>
      <c r="S147" s="39" t="inlineStr">
        <is>
          <t>시나리오</t>
        </is>
      </c>
      <c r="T147" s="39" t="inlineStr">
        <is>
          <t>작업자4</t>
        </is>
      </c>
    </row>
    <row r="148">
      <c r="A148" s="37">
        <f>IFERROR(INDEX('시나리오'!$G$5:$G$11,MATCH($T148,'시나리오'!$L$5:$L$11,0)),$T148)</f>
        <v/>
      </c>
      <c r="B148" s="37" t="inlineStr">
        <is>
          <t>RPT-147</t>
        </is>
      </c>
      <c r="C148" s="38" t="inlineStr">
        <is>
          <t>결과지(출력물)</t>
        </is>
      </c>
      <c r="D148" s="38" t="inlineStr">
        <is>
          <t>X. 통합본문</t>
        </is>
      </c>
      <c r="E148" s="37" t="inlineStr">
        <is>
          <t>P2</t>
        </is>
      </c>
      <c r="F148" s="38" t="inlineStr">
        <is>
          <t>X5 다중 하이라이트 구분</t>
        </is>
      </c>
      <c r="G148" s="38" t="inlineStr">
        <is>
          <t>샘플 자소서가 접수→분석→결과지까지 완료(매니저 화면에 분석값 확인 가능)</t>
        </is>
      </c>
      <c r="H148" s="38" t="inlineStr">
        <is>
          <t>스크린샷으로 육안 확인(필요 시 diff)</t>
        </is>
      </c>
      <c r="I148" s="38" t="inlineStr">
        <is>
          <t>-</t>
        </is>
      </c>
      <c r="J148" s="38" t="inlineStr">
        <is>
          <t>여러 라이선스 하이라이트가 한 본문에 공존 시 색·표시가 라이선스별로 구분되고 겹침/누락 없이 렌더</t>
        </is>
      </c>
      <c r="K148" s="37" t="inlineStr"/>
      <c r="L148" s="38" t="inlineStr"/>
      <c r="M148" s="38" t="inlineStr"/>
      <c r="N148" s="38" t="inlineStr"/>
      <c r="O148" s="37" t="inlineStr"/>
      <c r="P148" s="37" t="inlineStr"/>
      <c r="Q148" s="37" t="inlineStr"/>
      <c r="R148" s="38" t="inlineStr">
        <is>
          <t>[육안]</t>
        </is>
      </c>
      <c r="S148" s="37" t="inlineStr">
        <is>
          <t>시나리오</t>
        </is>
      </c>
      <c r="T148" s="37" t="inlineStr">
        <is>
          <t>작업자5</t>
        </is>
      </c>
    </row>
  </sheetData>
  <autoFilter ref="A1:T1"/>
  <conditionalFormatting sqref="K2:K148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3">
      <formula>"Blocked"</formula>
    </cfRule>
  </conditionalFormatting>
  <conditionalFormatting sqref="P2:P148">
    <cfRule type="cellIs" priority="4" operator="equal" dxfId="0">
      <formula>"수정완료"</formula>
    </cfRule>
  </conditionalFormatting>
  <conditionalFormatting sqref="E2:E148">
    <cfRule type="cellIs" priority="5" operator="equal" dxfId="4">
      <formula>"P1"</formula>
    </cfRule>
  </conditionalFormatting>
  <conditionalFormatting sqref="S2:S148">
    <cfRule type="cellIs" priority="6" operator="equal" dxfId="5">
      <formula>"시나리오"</formula>
    </cfRule>
  </conditionalFormatting>
  <dataValidations count="5">
    <dataValidation sqref="K2:K148" showDropDown="0" showInputMessage="0" showErrorMessage="0" allowBlank="1" type="list">
      <formula1>"Pass,Fail,N/A,Blocked"</formula1>
    </dataValidation>
    <dataValidation sqref="E2:E148" showDropDown="0" showInputMessage="0" showErrorMessage="0" allowBlank="1" type="list">
      <formula1>"P1,P2,P3"</formula1>
    </dataValidation>
    <dataValidation sqref="O2:O148" showDropDown="0" showInputMessage="0" showErrorMessage="0" allowBlank="1" type="list">
      <formula1>"치명,중,경"</formula1>
    </dataValidation>
    <dataValidation sqref="P2:P148" showDropDown="0" showInputMessage="0" showErrorMessage="0" allowBlank="1" type="list">
      <formula1>"미착수,수정중,수정완료,보류"</formula1>
    </dataValidation>
    <dataValidation sqref="Q2:Q148" showDropDown="0" showInputMessage="0" showErrorMessage="0" allowBlank="1" type="list">
      <formula1>"재확인대기,재확인통과,재오픈"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7" customWidth="1" min="5" max="5"/>
    <col width="30" customWidth="1" min="6" max="6"/>
    <col width="22" customWidth="1" min="7" max="7"/>
    <col width="30" customWidth="1" min="8" max="8"/>
    <col width="18" customWidth="1" min="9" max="9"/>
    <col width="40" customWidth="1" min="10" max="10"/>
    <col width="9" customWidth="1" min="11" max="11"/>
    <col width="11" customWidth="1" min="12" max="12"/>
    <col width="10" customWidth="1" min="13" max="13"/>
    <col width="28" customWidth="1" min="14" max="14"/>
    <col width="9" customWidth="1" min="15" max="15"/>
    <col width="13" customWidth="1" min="16" max="16"/>
    <col width="12" customWidth="1" min="17" max="17"/>
    <col width="16" customWidth="1" min="18" max="18"/>
    <col width="10" customWidth="1" min="19" max="19"/>
    <col width="9" customWidth="1" min="20" max="20"/>
  </cols>
  <sheetData>
    <row r="1" ht="30" customHeight="1">
      <c r="A1" s="33" t="inlineStr">
        <is>
          <t>담당</t>
        </is>
      </c>
      <c r="B1" s="33" t="inlineStr">
        <is>
          <t>TC ID</t>
        </is>
      </c>
      <c r="C1" s="33" t="inlineStr">
        <is>
          <t>대분류</t>
        </is>
      </c>
      <c r="D1" s="33" t="inlineStr">
        <is>
          <t>중분류</t>
        </is>
      </c>
      <c r="E1" s="33" t="inlineStr">
        <is>
          <t>우선
순위</t>
        </is>
      </c>
      <c r="F1" s="33" t="inlineStr">
        <is>
          <t>테스트 시나리오(케이스명)</t>
        </is>
      </c>
      <c r="G1" s="33" t="inlineStr">
        <is>
          <t>사전조건</t>
        </is>
      </c>
      <c r="H1" s="33" t="inlineStr">
        <is>
          <t>테스트 절차</t>
        </is>
      </c>
      <c r="I1" s="33" t="inlineStr">
        <is>
          <t>입력/조건</t>
        </is>
      </c>
      <c r="J1" s="33" t="inlineStr">
        <is>
          <t>기대결과</t>
        </is>
      </c>
      <c r="K1" s="34" t="inlineStr">
        <is>
          <t>QC결과</t>
        </is>
      </c>
      <c r="L1" s="34" t="inlineStr">
        <is>
          <t>실행일</t>
        </is>
      </c>
      <c r="M1" s="34" t="inlineStr">
        <is>
          <t>QC담당자</t>
        </is>
      </c>
      <c r="N1" s="35" t="inlineStr">
        <is>
          <t>결함 내용</t>
        </is>
      </c>
      <c r="O1" s="35" t="inlineStr">
        <is>
          <t>심각도</t>
        </is>
      </c>
      <c r="P1" s="35" t="inlineStr">
        <is>
          <t>개발 수정상태</t>
        </is>
      </c>
      <c r="Q1" s="35" t="inlineStr">
        <is>
          <t>재확인(QC)</t>
        </is>
      </c>
      <c r="R1" s="36" t="inlineStr">
        <is>
          <t>비고</t>
        </is>
      </c>
      <c r="S1" s="36" t="inlineStr">
        <is>
          <t>구분</t>
        </is>
      </c>
      <c r="T1" s="36" t="inlineStr">
        <is>
          <t>키(작업자)</t>
        </is>
      </c>
    </row>
    <row r="2">
      <c r="A2" s="37">
        <f>IFERROR(INDEX('시나리오'!$G$5:$G$11,MATCH($T2,'시나리오'!$L$5:$L$11,0)),$T2)</f>
        <v/>
      </c>
      <c r="B2" s="37" t="inlineStr">
        <is>
          <t>API-001</t>
        </is>
      </c>
      <c r="C2" s="38" t="inlineStr">
        <is>
          <t>API</t>
        </is>
      </c>
      <c r="D2" s="38" t="inlineStr">
        <is>
          <t>① 한 줄 코멘트</t>
        </is>
      </c>
      <c r="E2" s="37" t="inlineStr">
        <is>
          <t>P1</t>
        </is>
      </c>
      <c r="F2" s="38" t="inlineStr">
        <is>
          <t>정상 생성(happy path)</t>
        </is>
      </c>
      <c r="G2" s="38" t="inlineStr">
        <is>
          <t>execute API·공방 프롬프트(bp-v4-comment) 배포 · API PRISM/GENERATE-BP-COMMENT · llmServiceKey 발급</t>
        </is>
      </c>
      <c r="H2" s="38" t="inlineStr">
        <is>
          <t>POST /common/prompt-execute 호출</t>
        </is>
      </c>
      <c r="I2" s="38" t="inlineStr">
        <is>
          <t>강점2+검토1~2 factor digest, max_chars="90"</t>
        </is>
      </c>
      <c r="J2" s="38" t="inlineStr">
        <is>
          <t>status=ok, result.one_liner 1문장, parts.strength/weakness/action 3요소 모두 채워짐, meta.grounded=true</t>
        </is>
      </c>
      <c r="K2" s="37" t="inlineStr"/>
      <c r="L2" s="38" t="inlineStr"/>
      <c r="M2" s="38" t="inlineStr"/>
      <c r="N2" s="38" t="inlineStr"/>
      <c r="O2" s="37" t="inlineStr"/>
      <c r="P2" s="37" t="inlineStr"/>
      <c r="Q2" s="37" t="inlineStr"/>
      <c r="R2" s="38" t="inlineStr"/>
      <c r="S2" s="37" t="inlineStr">
        <is>
          <t>공통</t>
        </is>
      </c>
      <c r="T2" s="37" t="inlineStr">
        <is>
          <t>작업자3</t>
        </is>
      </c>
    </row>
    <row r="3">
      <c r="A3" s="39">
        <f>IFERROR(INDEX('시나리오'!$G$5:$G$11,MATCH($T3,'시나리오'!$L$5:$L$11,0)),$T3)</f>
        <v/>
      </c>
      <c r="B3" s="39" t="inlineStr">
        <is>
          <t>API-002</t>
        </is>
      </c>
      <c r="C3" s="40" t="inlineStr">
        <is>
          <t>API</t>
        </is>
      </c>
      <c r="D3" s="40" t="inlineStr">
        <is>
          <t>① 한 줄 코멘트</t>
        </is>
      </c>
      <c r="E3" s="39" t="inlineStr">
        <is>
          <t>P1</t>
        </is>
      </c>
      <c r="F3" s="40" t="inlineStr">
        <is>
          <t>두괄식(강점 선두)</t>
        </is>
      </c>
      <c r="G3" s="40" t="inlineStr">
        <is>
          <t>execute API·공방 프롬프트(bp-v4-comment) 배포 · API PRISM/GENERATE-BP-COMMENT · llmServiceKey 발급</t>
        </is>
      </c>
      <c r="H3" s="40" t="inlineStr">
        <is>
          <t>응답 one_liner 문장 구조 확인</t>
        </is>
      </c>
      <c r="I3" s="40" t="inlineStr">
        <is>
          <t>정상 digest</t>
        </is>
      </c>
      <c r="J3" s="40" t="inlineStr">
        <is>
          <t>한 문장이 강점→단점→액션 순서, 강점이 문장 맨 앞</t>
        </is>
      </c>
      <c r="K3" s="39" t="inlineStr"/>
      <c r="L3" s="40" t="inlineStr"/>
      <c r="M3" s="40" t="inlineStr"/>
      <c r="N3" s="40" t="inlineStr"/>
      <c r="O3" s="39" t="inlineStr"/>
      <c r="P3" s="39" t="inlineStr"/>
      <c r="Q3" s="39" t="inlineStr"/>
      <c r="R3" s="40" t="inlineStr"/>
      <c r="S3" s="39" t="inlineStr">
        <is>
          <t>공통</t>
        </is>
      </c>
      <c r="T3" s="39" t="inlineStr">
        <is>
          <t>작업자4</t>
        </is>
      </c>
    </row>
    <row r="4">
      <c r="A4" s="37">
        <f>IFERROR(INDEX('시나리오'!$G$5:$G$11,MATCH($T4,'시나리오'!$L$5:$L$11,0)),$T4)</f>
        <v/>
      </c>
      <c r="B4" s="37" t="inlineStr">
        <is>
          <t>API-003</t>
        </is>
      </c>
      <c r="C4" s="38" t="inlineStr">
        <is>
          <t>API</t>
        </is>
      </c>
      <c r="D4" s="38" t="inlineStr">
        <is>
          <t>① 한 줄 코멘트</t>
        </is>
      </c>
      <c r="E4" s="37" t="inlineStr">
        <is>
          <t>P1</t>
        </is>
      </c>
      <c r="F4" s="38" t="inlineStr">
        <is>
          <t>금지어 미사용</t>
        </is>
      </c>
      <c r="G4" s="38" t="inlineStr">
        <is>
          <t>execute API·공방 프롬프트(bp-v4-comment) 배포 · API PRISM/GENERATE-BP-COMMENT · llmServiceKey 발급</t>
        </is>
      </c>
      <c r="H4" s="38" t="inlineStr">
        <is>
          <t>one_liner·parts에 금지어 포함 검사</t>
        </is>
      </c>
      <c r="I4" s="38" t="inlineStr">
        <is>
          <t>정상 digest</t>
        </is>
      </c>
      <c r="J4" s="38" t="inlineStr">
        <is>
          <t>'합격/불합격/적격/부적격/탈락' 미포함('권장/검토 필요/확인'으로 표현)</t>
        </is>
      </c>
      <c r="K4" s="37" t="inlineStr"/>
      <c r="L4" s="38" t="inlineStr"/>
      <c r="M4" s="38" t="inlineStr"/>
      <c r="N4" s="38" t="inlineStr"/>
      <c r="O4" s="37" t="inlineStr"/>
      <c r="P4" s="37" t="inlineStr"/>
      <c r="Q4" s="37" t="inlineStr"/>
      <c r="R4" s="38" t="inlineStr">
        <is>
          <t>hard fail</t>
        </is>
      </c>
      <c r="S4" s="37" t="inlineStr">
        <is>
          <t>공통</t>
        </is>
      </c>
      <c r="T4" s="37" t="inlineStr">
        <is>
          <t>작업자5</t>
        </is>
      </c>
    </row>
    <row r="5">
      <c r="A5" s="39">
        <f>IFERROR(INDEX('시나리오'!$G$5:$G$11,MATCH($T5,'시나리오'!$L$5:$L$11,0)),$T5)</f>
        <v/>
      </c>
      <c r="B5" s="39" t="inlineStr">
        <is>
          <t>API-004</t>
        </is>
      </c>
      <c r="C5" s="40" t="inlineStr">
        <is>
          <t>API</t>
        </is>
      </c>
      <c r="D5" s="40" t="inlineStr">
        <is>
          <t>① 한 줄 코멘트</t>
        </is>
      </c>
      <c r="E5" s="39" t="inlineStr">
        <is>
          <t>P1</t>
        </is>
      </c>
      <c r="F5" s="40" t="inlineStr">
        <is>
          <t>무근거 금지/grounded</t>
        </is>
      </c>
      <c r="G5" s="40" t="inlineStr">
        <is>
          <t>execute API·공방 프롬프트(bp-v4-comment) 배포 · API PRISM/GENERATE-BP-COMMENT · llmServiceKey 발급</t>
        </is>
      </c>
      <c r="H5" s="40" t="inlineStr">
        <is>
          <t>입력에 없는 영역·등급 등장 검사</t>
        </is>
      </c>
      <c r="I5" s="40" t="inlineStr">
        <is>
          <t>grade=none factor 포함 digest</t>
        </is>
      </c>
      <c r="J5" s="40" t="inlineStr">
        <is>
          <t>none 역량을 강점으로 단정 안 함, 입력에 없는 사실 미생성, meta.grounded=true</t>
        </is>
      </c>
      <c r="K5" s="39" t="inlineStr"/>
      <c r="L5" s="40" t="inlineStr"/>
      <c r="M5" s="40" t="inlineStr"/>
      <c r="N5" s="40" t="inlineStr"/>
      <c r="O5" s="39" t="inlineStr"/>
      <c r="P5" s="39" t="inlineStr"/>
      <c r="Q5" s="39" t="inlineStr"/>
      <c r="R5" s="40" t="inlineStr">
        <is>
          <t>hard fail</t>
        </is>
      </c>
      <c r="S5" s="39" t="inlineStr">
        <is>
          <t>공통</t>
        </is>
      </c>
      <c r="T5" s="39" t="inlineStr">
        <is>
          <t>작업자6</t>
        </is>
      </c>
    </row>
    <row r="6">
      <c r="A6" s="37">
        <f>IFERROR(INDEX('시나리오'!$G$5:$G$11,MATCH($T6,'시나리오'!$L$5:$L$11,0)),$T6)</f>
        <v/>
      </c>
      <c r="B6" s="37" t="inlineStr">
        <is>
          <t>API-005</t>
        </is>
      </c>
      <c r="C6" s="38" t="inlineStr">
        <is>
          <t>API</t>
        </is>
      </c>
      <c r="D6" s="38" t="inlineStr">
        <is>
          <t>① 한 줄 코멘트</t>
        </is>
      </c>
      <c r="E6" s="37" t="inlineStr">
        <is>
          <t>P1</t>
        </is>
      </c>
      <c r="F6" s="38" t="inlineStr">
        <is>
          <t>길이 제한</t>
        </is>
      </c>
      <c r="G6" s="38" t="inlineStr">
        <is>
          <t>execute API·공방 프롬프트(bp-v4-comment) 배포 · API PRISM/GENERATE-BP-COMMENT · llmServiceKey 발급</t>
        </is>
      </c>
      <c r="H6" s="38" t="inlineStr">
        <is>
          <t>one_liner 실제 글자수 확인</t>
        </is>
      </c>
      <c r="I6" s="38" t="inlineStr">
        <is>
          <t>max_chars=90</t>
        </is>
      </c>
      <c r="J6" s="38" t="inlineStr">
        <is>
          <t>one_liner 글자수 ≤ 90(초과 시 비교수치→수식어 순 축소)</t>
        </is>
      </c>
      <c r="K6" s="37" t="inlineStr"/>
      <c r="L6" s="38" t="inlineStr"/>
      <c r="M6" s="38" t="inlineStr"/>
      <c r="N6" s="38" t="inlineStr"/>
      <c r="O6" s="37" t="inlineStr"/>
      <c r="P6" s="37" t="inlineStr"/>
      <c r="Q6" s="37" t="inlineStr"/>
      <c r="R6" s="38" t="inlineStr"/>
      <c r="S6" s="37" t="inlineStr">
        <is>
          <t>공통</t>
        </is>
      </c>
      <c r="T6" s="37" t="inlineStr">
        <is>
          <t>작업자7</t>
        </is>
      </c>
    </row>
    <row r="7">
      <c r="A7" s="39">
        <f>IFERROR(INDEX('시나리오'!$G$5:$G$11,MATCH($T7,'시나리오'!$L$5:$L$11,0)),$T7)</f>
        <v/>
      </c>
      <c r="B7" s="39" t="inlineStr">
        <is>
          <t>API-006</t>
        </is>
      </c>
      <c r="C7" s="40" t="inlineStr">
        <is>
          <t>API</t>
        </is>
      </c>
      <c r="D7" s="40" t="inlineStr">
        <is>
          <t>① 한 줄 코멘트</t>
        </is>
      </c>
      <c r="E7" s="39" t="inlineStr">
        <is>
          <t>P2</t>
        </is>
      </c>
      <c r="F7" s="40" t="inlineStr">
        <is>
          <t>3요소 누락 시 재생성</t>
        </is>
      </c>
      <c r="G7" s="40" t="inlineStr">
        <is>
          <t>execute API·공방 프롬프트(bp-v4-comment) 배포 · API PRISM/GENERATE-BP-COMMENT · llmServiceKey 발급</t>
        </is>
      </c>
      <c r="H7" s="40" t="inlineStr">
        <is>
          <t>parts 각 필드 확인</t>
        </is>
      </c>
      <c r="I7" s="40" t="inlineStr">
        <is>
          <t>강점/검토 일부만 있는 digest</t>
        </is>
      </c>
      <c r="J7" s="40" t="inlineStr">
        <is>
          <t>parts.strength/weakness/action 중 빈 값 없음</t>
        </is>
      </c>
      <c r="K7" s="39" t="inlineStr"/>
      <c r="L7" s="40" t="inlineStr"/>
      <c r="M7" s="40" t="inlineStr"/>
      <c r="N7" s="40" t="inlineStr"/>
      <c r="O7" s="39" t="inlineStr"/>
      <c r="P7" s="39" t="inlineStr"/>
      <c r="Q7" s="39" t="inlineStr"/>
      <c r="R7" s="40" t="inlineStr"/>
      <c r="S7" s="39" t="inlineStr">
        <is>
          <t>공통</t>
        </is>
      </c>
      <c r="T7" s="39" t="inlineStr">
        <is>
          <t>작업자1</t>
        </is>
      </c>
    </row>
    <row r="8">
      <c r="A8" s="37">
        <f>IFERROR(INDEX('시나리오'!$G$5:$G$11,MATCH($T8,'시나리오'!$L$5:$L$11,0)),$T8)</f>
        <v/>
      </c>
      <c r="B8" s="37" t="inlineStr">
        <is>
          <t>API-007</t>
        </is>
      </c>
      <c r="C8" s="38" t="inlineStr">
        <is>
          <t>API</t>
        </is>
      </c>
      <c r="D8" s="38" t="inlineStr">
        <is>
          <t>① 한 줄 코멘트</t>
        </is>
      </c>
      <c r="E8" s="37" t="inlineStr">
        <is>
          <t>P2</t>
        </is>
      </c>
      <c r="F8" s="38" t="inlineStr">
        <is>
          <t>검토 메트릭 롤업</t>
        </is>
      </c>
      <c r="G8" s="38" t="inlineStr">
        <is>
          <t>execute API·공방 프롬프트(bp-v4-comment) 배포 · API PRISM/GENERATE-BP-COMMENT · llmServiceKey 발급</t>
        </is>
      </c>
      <c r="H8" s="38" t="inlineStr">
        <is>
          <t>digest factors의 level 확인</t>
        </is>
      </c>
      <c r="I8" s="38" t="inlineStr">
        <is>
          <t>같은 메트릭 none factor 2개+</t>
        </is>
      </c>
      <c r="J8" s="38" t="inlineStr">
        <is>
          <t>검토가 level=metric 1개로 롤업('(메트릭) 전반 근거 확인 안 됨' 서술)</t>
        </is>
      </c>
      <c r="K8" s="37" t="inlineStr"/>
      <c r="L8" s="38" t="inlineStr"/>
      <c r="M8" s="38" t="inlineStr"/>
      <c r="N8" s="38" t="inlineStr"/>
      <c r="O8" s="37" t="inlineStr"/>
      <c r="P8" s="37" t="inlineStr"/>
      <c r="Q8" s="37" t="inlineStr"/>
      <c r="R8" s="38" t="inlineStr"/>
      <c r="S8" s="37" t="inlineStr">
        <is>
          <t>공통</t>
        </is>
      </c>
      <c r="T8" s="37" t="inlineStr">
        <is>
          <t>작업자2</t>
        </is>
      </c>
    </row>
    <row r="9">
      <c r="A9" s="39">
        <f>IFERROR(INDEX('시나리오'!$G$5:$G$11,MATCH($T9,'시나리오'!$L$5:$L$11,0)),$T9)</f>
        <v/>
      </c>
      <c r="B9" s="39" t="inlineStr">
        <is>
          <t>API-008</t>
        </is>
      </c>
      <c r="C9" s="40" t="inlineStr">
        <is>
          <t>API</t>
        </is>
      </c>
      <c r="D9" s="40" t="inlineStr">
        <is>
          <t>① 한 줄 코멘트</t>
        </is>
      </c>
      <c r="E9" s="39" t="inlineStr">
        <is>
          <t>P1</t>
        </is>
      </c>
      <c r="F9" s="40" t="inlineStr">
        <is>
          <t>standing 수치 미출력</t>
        </is>
      </c>
      <c r="G9" s="40" t="inlineStr">
        <is>
          <t>execute API·공방 프롬프트(bp-v4-comment) 배포 · API PRISM/GENERATE-BP-COMMENT · llmServiceKey 발급</t>
        </is>
      </c>
      <c r="H9" s="40" t="inlineStr">
        <is>
          <t>one_liner에 숫자 단정 여부 확인</t>
        </is>
      </c>
      <c r="I9" s="40" t="inlineStr">
        <is>
          <t>total_score·percentile_top 포함</t>
        </is>
      </c>
      <c r="J9" s="40" t="inlineStr">
        <is>
          <t>상위%·총점 수치가 문장에 단정 출력되지 않음(어조 판단에만 사용)</t>
        </is>
      </c>
      <c r="K9" s="39" t="inlineStr"/>
      <c r="L9" s="40" t="inlineStr"/>
      <c r="M9" s="40" t="inlineStr"/>
      <c r="N9" s="40" t="inlineStr"/>
      <c r="O9" s="39" t="inlineStr"/>
      <c r="P9" s="39" t="inlineStr"/>
      <c r="Q9" s="39" t="inlineStr"/>
      <c r="R9" s="40" t="inlineStr"/>
      <c r="S9" s="39" t="inlineStr">
        <is>
          <t>공통</t>
        </is>
      </c>
      <c r="T9" s="39" t="inlineStr">
        <is>
          <t>작업자3</t>
        </is>
      </c>
    </row>
    <row r="10">
      <c r="A10" s="37">
        <f>IFERROR(INDEX('시나리오'!$G$5:$G$11,MATCH($T10,'시나리오'!$L$5:$L$11,0)),$T10)</f>
        <v/>
      </c>
      <c r="B10" s="37" t="inlineStr">
        <is>
          <t>API-009</t>
        </is>
      </c>
      <c r="C10" s="38" t="inlineStr">
        <is>
          <t>API</t>
        </is>
      </c>
      <c r="D10" s="38" t="inlineStr">
        <is>
          <t>① 한 줄 코멘트</t>
        </is>
      </c>
      <c r="E10" s="37" t="inlineStr">
        <is>
          <t>P2</t>
        </is>
      </c>
      <c r="F10" s="38" t="inlineStr">
        <is>
          <t>강점이 high 아닐 때 완화</t>
        </is>
      </c>
      <c r="G10" s="38" t="inlineStr">
        <is>
          <t>execute API·공방 프롬프트(bp-v4-comment) 배포 · API PRISM/GENERATE-BP-COMMENT · llmServiceKey 발급</t>
        </is>
      </c>
      <c r="H10" s="38" t="inlineStr">
        <is>
          <t>one_liner 서술 톤 확인</t>
        </is>
      </c>
      <c r="I10" s="38" t="inlineStr">
        <is>
          <t>상위2 factor grade=mid</t>
        </is>
      </c>
      <c r="J10" s="38" t="inlineStr">
        <is>
          <t>'상대적으로 두드러진' 식 완화 서술(단정 강점 아님)</t>
        </is>
      </c>
      <c r="K10" s="37" t="inlineStr"/>
      <c r="L10" s="38" t="inlineStr"/>
      <c r="M10" s="38" t="inlineStr"/>
      <c r="N10" s="38" t="inlineStr"/>
      <c r="O10" s="37" t="inlineStr"/>
      <c r="P10" s="37" t="inlineStr"/>
      <c r="Q10" s="37" t="inlineStr"/>
      <c r="R10" s="38" t="inlineStr"/>
      <c r="S10" s="37" t="inlineStr">
        <is>
          <t>공통</t>
        </is>
      </c>
      <c r="T10" s="37" t="inlineStr">
        <is>
          <t>작업자4</t>
        </is>
      </c>
    </row>
    <row r="11">
      <c r="A11" s="39">
        <f>IFERROR(INDEX('시나리오'!$G$5:$G$11,MATCH($T11,'시나리오'!$L$5:$L$11,0)),$T11)</f>
        <v/>
      </c>
      <c r="B11" s="39" t="inlineStr">
        <is>
          <t>API-010</t>
        </is>
      </c>
      <c r="C11" s="40" t="inlineStr">
        <is>
          <t>API</t>
        </is>
      </c>
      <c r="D11" s="40" t="inlineStr">
        <is>
          <t>① 한 줄 코멘트</t>
        </is>
      </c>
      <c r="E11" s="39" t="inlineStr">
        <is>
          <t>P2</t>
        </is>
      </c>
      <c r="F11" s="40" t="inlineStr">
        <is>
          <t>출력 스키마 Strict</t>
        </is>
      </c>
      <c r="G11" s="40" t="inlineStr">
        <is>
          <t>execute API·공방 프롬프트(bp-v4-comment) 배포 · API PRISM/GENERATE-BP-COMMENT · llmServiceKey 발급</t>
        </is>
      </c>
      <c r="H11" s="40" t="inlineStr">
        <is>
          <t>result 구조 검증</t>
        </is>
      </c>
      <c r="I11" s="40" t="inlineStr">
        <is>
          <t>정상 호출</t>
        </is>
      </c>
      <c r="J11" s="40" t="inlineStr">
        <is>
          <t>required(one_liner·char_count·parts·meta) 전부 존재, additionalProperties 없음</t>
        </is>
      </c>
      <c r="K11" s="39" t="inlineStr"/>
      <c r="L11" s="40" t="inlineStr"/>
      <c r="M11" s="40" t="inlineStr"/>
      <c r="N11" s="40" t="inlineStr"/>
      <c r="O11" s="39" t="inlineStr"/>
      <c r="P11" s="39" t="inlineStr"/>
      <c r="Q11" s="39" t="inlineStr"/>
      <c r="R11" s="40" t="inlineStr"/>
      <c r="S11" s="39" t="inlineStr">
        <is>
          <t>공통</t>
        </is>
      </c>
      <c r="T11" s="39" t="inlineStr">
        <is>
          <t>작업자5</t>
        </is>
      </c>
    </row>
    <row r="12">
      <c r="A12" s="37">
        <f>IFERROR(INDEX('시나리오'!$G$5:$G$11,MATCH($T12,'시나리오'!$L$5:$L$11,0)),$T12)</f>
        <v/>
      </c>
      <c r="B12" s="37" t="inlineStr">
        <is>
          <t>API-011</t>
        </is>
      </c>
      <c r="C12" s="38" t="inlineStr">
        <is>
          <t>API</t>
        </is>
      </c>
      <c r="D12" s="38" t="inlineStr">
        <is>
          <t>① 한 줄 코멘트</t>
        </is>
      </c>
      <c r="E12" s="37" t="inlineStr">
        <is>
          <t>P2</t>
        </is>
      </c>
      <c r="F12" s="38" t="inlineStr">
        <is>
          <t>변수 누락 감지</t>
        </is>
      </c>
      <c r="G12" s="38" t="inlineStr">
        <is>
          <t>execute API·공방 프롬프트(bp-v4-comment) 배포 · API PRISM/GENERATE-BP-COMMENT · llmServiceKey 발급</t>
        </is>
      </c>
      <c r="H12" s="38" t="inlineStr">
        <is>
          <t>config.onMissingVariables=error로 호출</t>
        </is>
      </c>
      <c r="I12" s="38" t="inlineStr">
        <is>
          <t>keyValue에서 max_chars 누락</t>
        </is>
      </c>
      <c r="J12" s="38" t="inlineStr">
        <is>
          <t>status=fail + 변수 누락 message(빈 문자열 대체 아님)</t>
        </is>
      </c>
      <c r="K12" s="37" t="inlineStr"/>
      <c r="L12" s="38" t="inlineStr"/>
      <c r="M12" s="38" t="inlineStr"/>
      <c r="N12" s="38" t="inlineStr"/>
      <c r="O12" s="37" t="inlineStr"/>
      <c r="P12" s="37" t="inlineStr"/>
      <c r="Q12" s="37" t="inlineStr"/>
      <c r="R12" s="38" t="inlineStr"/>
      <c r="S12" s="37" t="inlineStr">
        <is>
          <t>공통</t>
        </is>
      </c>
      <c r="T12" s="37" t="inlineStr">
        <is>
          <t>작업자6</t>
        </is>
      </c>
    </row>
    <row r="13">
      <c r="A13" s="39">
        <f>IFERROR(INDEX('시나리오'!$G$5:$G$11,MATCH($T13,'시나리오'!$L$5:$L$11,0)),$T13)</f>
        <v/>
      </c>
      <c r="B13" s="39" t="inlineStr">
        <is>
          <t>API-012</t>
        </is>
      </c>
      <c r="C13" s="40" t="inlineStr">
        <is>
          <t>API</t>
        </is>
      </c>
      <c r="D13" s="40" t="inlineStr">
        <is>
          <t>① 한 줄 코멘트</t>
        </is>
      </c>
      <c r="E13" s="39" t="inlineStr">
        <is>
          <t>P3</t>
        </is>
      </c>
      <c r="F13" s="40" t="inlineStr">
        <is>
          <t>char_count 부정확 주의</t>
        </is>
      </c>
      <c r="G13" s="40" t="inlineStr">
        <is>
          <t>execute API·공방 프롬프트(bp-v4-comment) 배포 · API PRISM/GENERATE-BP-COMMENT · llmServiceKey 발급</t>
        </is>
      </c>
      <c r="H13" s="40" t="inlineStr">
        <is>
          <t>char_count와 실제 글자수 비교</t>
        </is>
      </c>
      <c r="I13" s="40" t="inlineStr">
        <is>
          <t>정상 호출</t>
        </is>
      </c>
      <c r="J13" s="40" t="inlineStr">
        <is>
          <t>LLM 자체 계산이라 차이 가능 → 정확값 필요 시 one_liner로 재계산(알려진 한계)</t>
        </is>
      </c>
      <c r="K13" s="39" t="inlineStr"/>
      <c r="L13" s="40" t="inlineStr"/>
      <c r="M13" s="40" t="inlineStr"/>
      <c r="N13" s="40" t="inlineStr"/>
      <c r="O13" s="39" t="inlineStr"/>
      <c r="P13" s="39" t="inlineStr"/>
      <c r="Q13" s="39" t="inlineStr"/>
      <c r="R13" s="40" t="inlineStr">
        <is>
          <t>참고</t>
        </is>
      </c>
      <c r="S13" s="39" t="inlineStr">
        <is>
          <t>공통</t>
        </is>
      </c>
      <c r="T13" s="39" t="inlineStr">
        <is>
          <t>작업자7</t>
        </is>
      </c>
    </row>
    <row r="14">
      <c r="A14" s="37">
        <f>IFERROR(INDEX('시나리오'!$G$5:$G$11,MATCH($T14,'시나리오'!$L$5:$L$11,0)),$T14)</f>
        <v/>
      </c>
      <c r="B14" s="37" t="inlineStr">
        <is>
          <t>API-013</t>
        </is>
      </c>
      <c r="C14" s="38" t="inlineStr">
        <is>
          <t>API</t>
        </is>
      </c>
      <c r="D14" s="38" t="inlineStr">
        <is>
          <t>④ 자소서 특장점</t>
        </is>
      </c>
      <c r="E14" s="37" t="inlineStr">
        <is>
          <t>P1</t>
        </is>
      </c>
      <c r="F14" s="38" t="inlineStr">
        <is>
          <t>정상 요약</t>
        </is>
      </c>
      <c r="G14" s="38" t="inlineStr">
        <is>
          <t>execute API·공방 프롬프트(bp-point-summary) 배포</t>
        </is>
      </c>
      <c r="H14" s="38" t="inlineStr">
        <is>
          <t>keyValue.body=자소서 본문으로 호출</t>
        </is>
      </c>
      <c r="I14" s="38" t="inlineStr">
        <is>
          <t>자소서 본문</t>
        </is>
      </c>
      <c r="J14" s="38" t="inlineStr">
        <is>
          <t>status=ok, result.highlights 배열 반환</t>
        </is>
      </c>
      <c r="K14" s="37" t="inlineStr"/>
      <c r="L14" s="38" t="inlineStr"/>
      <c r="M14" s="38" t="inlineStr"/>
      <c r="N14" s="38" t="inlineStr"/>
      <c r="O14" s="37" t="inlineStr"/>
      <c r="P14" s="37" t="inlineStr"/>
      <c r="Q14" s="37" t="inlineStr"/>
      <c r="R14" s="38" t="inlineStr"/>
      <c r="S14" s="37" t="inlineStr">
        <is>
          <t>공통</t>
        </is>
      </c>
      <c r="T14" s="37" t="inlineStr">
        <is>
          <t>작업자1</t>
        </is>
      </c>
    </row>
    <row r="15">
      <c r="A15" s="39">
        <f>IFERROR(INDEX('시나리오'!$G$5:$G$11,MATCH($T15,'시나리오'!$L$5:$L$11,0)),$T15)</f>
        <v/>
      </c>
      <c r="B15" s="39" t="inlineStr">
        <is>
          <t>API-014</t>
        </is>
      </c>
      <c r="C15" s="40" t="inlineStr">
        <is>
          <t>API</t>
        </is>
      </c>
      <c r="D15" s="40" t="inlineStr">
        <is>
          <t>④ 자소서 특장점</t>
        </is>
      </c>
      <c r="E15" s="39" t="inlineStr">
        <is>
          <t>P1</t>
        </is>
      </c>
      <c r="F15" s="40" t="inlineStr">
        <is>
          <t>개수 4~5개</t>
        </is>
      </c>
      <c r="G15" s="40" t="inlineStr">
        <is>
          <t>execute API·공방 프롬프트(bp-point-summary) 배포</t>
        </is>
      </c>
      <c r="H15" s="40" t="inlineStr">
        <is>
          <t>highlights 길이 확인</t>
        </is>
      </c>
      <c r="I15" s="40" t="inlineStr">
        <is>
          <t>정상 body</t>
        </is>
      </c>
      <c r="J15" s="40" t="inlineStr">
        <is>
          <t>highlights 4~5개(3개 이하/6개 이상 실패)</t>
        </is>
      </c>
      <c r="K15" s="39" t="inlineStr"/>
      <c r="L15" s="40" t="inlineStr"/>
      <c r="M15" s="40" t="inlineStr"/>
      <c r="N15" s="40" t="inlineStr"/>
      <c r="O15" s="39" t="inlineStr"/>
      <c r="P15" s="39" t="inlineStr"/>
      <c r="Q15" s="39" t="inlineStr"/>
      <c r="R15" s="40" t="inlineStr"/>
      <c r="S15" s="39" t="inlineStr">
        <is>
          <t>공통</t>
        </is>
      </c>
      <c r="T15" s="39" t="inlineStr">
        <is>
          <t>작업자2</t>
        </is>
      </c>
    </row>
    <row r="16">
      <c r="A16" s="37">
        <f>IFERROR(INDEX('시나리오'!$G$5:$G$11,MATCH($T16,'시나리오'!$L$5:$L$11,0)),$T16)</f>
        <v/>
      </c>
      <c r="B16" s="37" t="inlineStr">
        <is>
          <t>API-015</t>
        </is>
      </c>
      <c r="C16" s="38" t="inlineStr">
        <is>
          <t>API</t>
        </is>
      </c>
      <c r="D16" s="38" t="inlineStr">
        <is>
          <t>④ 자소서 특장점</t>
        </is>
      </c>
      <c r="E16" s="37" t="inlineStr">
        <is>
          <t>P2</t>
        </is>
      </c>
      <c r="F16" s="38" t="inlineStr">
        <is>
          <t>형식: 20자 안팎 명사구</t>
        </is>
      </c>
      <c r="G16" s="38" t="inlineStr">
        <is>
          <t>execute API·공방 프롬프트(bp-point-summary) 배포</t>
        </is>
      </c>
      <c r="H16" s="38" t="inlineStr">
        <is>
          <t>각 항목 길이·종결형 확인</t>
        </is>
      </c>
      <c r="I16" s="38" t="inlineStr">
        <is>
          <t>정상 body</t>
        </is>
      </c>
      <c r="J16" s="38" t="inlineStr">
        <is>
          <t>각 항목 18~25자 짧은 명사구, 명사·체언 종결('~했다'·'제목: 설명' 아님)</t>
        </is>
      </c>
      <c r="K16" s="37" t="inlineStr"/>
      <c r="L16" s="38" t="inlineStr"/>
      <c r="M16" s="38" t="inlineStr"/>
      <c r="N16" s="38" t="inlineStr"/>
      <c r="O16" s="37" t="inlineStr"/>
      <c r="P16" s="37" t="inlineStr"/>
      <c r="Q16" s="37" t="inlineStr"/>
      <c r="R16" s="38" t="inlineStr"/>
      <c r="S16" s="37" t="inlineStr">
        <is>
          <t>공통</t>
        </is>
      </c>
      <c r="T16" s="37" t="inlineStr">
        <is>
          <t>작업자3</t>
        </is>
      </c>
    </row>
    <row r="17">
      <c r="A17" s="39">
        <f>IFERROR(INDEX('시나리오'!$G$5:$G$11,MATCH($T17,'시나리오'!$L$5:$L$11,0)),$T17)</f>
        <v/>
      </c>
      <c r="B17" s="39" t="inlineStr">
        <is>
          <t>API-016</t>
        </is>
      </c>
      <c r="C17" s="40" t="inlineStr">
        <is>
          <t>API</t>
        </is>
      </c>
      <c r="D17" s="40" t="inlineStr">
        <is>
          <t>④ 자소서 특장점</t>
        </is>
      </c>
      <c r="E17" s="39" t="inlineStr">
        <is>
          <t>P1</t>
        </is>
      </c>
      <c r="F17" s="40" t="inlineStr">
        <is>
          <t>가치판단 금지</t>
        </is>
      </c>
      <c r="G17" s="40" t="inlineStr">
        <is>
          <t>execute API·공방 프롬프트(bp-point-summary) 배포</t>
        </is>
      </c>
      <c r="H17" s="40" t="inlineStr">
        <is>
          <t>평가어 포함 검사</t>
        </is>
      </c>
      <c r="I17" s="40" t="inlineStr">
        <is>
          <t>정상 body</t>
        </is>
      </c>
      <c r="J17" s="40" t="inlineStr">
        <is>
          <t>'좋다/나쁘다·강점/약점·우수/부족' 등 평가어 없음(중립 요약)</t>
        </is>
      </c>
      <c r="K17" s="39" t="inlineStr"/>
      <c r="L17" s="40" t="inlineStr"/>
      <c r="M17" s="40" t="inlineStr"/>
      <c r="N17" s="40" t="inlineStr"/>
      <c r="O17" s="39" t="inlineStr"/>
      <c r="P17" s="39" t="inlineStr"/>
      <c r="Q17" s="39" t="inlineStr"/>
      <c r="R17" s="40" t="inlineStr">
        <is>
          <t>hard fail</t>
        </is>
      </c>
      <c r="S17" s="39" t="inlineStr">
        <is>
          <t>공통</t>
        </is>
      </c>
      <c r="T17" s="39" t="inlineStr">
        <is>
          <t>작업자4</t>
        </is>
      </c>
    </row>
    <row r="18">
      <c r="A18" s="37">
        <f>IFERROR(INDEX('시나리오'!$G$5:$G$11,MATCH($T18,'시나리오'!$L$5:$L$11,0)),$T18)</f>
        <v/>
      </c>
      <c r="B18" s="37" t="inlineStr">
        <is>
          <t>API-017</t>
        </is>
      </c>
      <c r="C18" s="38" t="inlineStr">
        <is>
          <t>API</t>
        </is>
      </c>
      <c r="D18" s="38" t="inlineStr">
        <is>
          <t>④ 자소서 특장점</t>
        </is>
      </c>
      <c r="E18" s="37" t="inlineStr">
        <is>
          <t>P1</t>
        </is>
      </c>
      <c r="F18" s="38" t="inlineStr">
        <is>
          <t>무근거 금지</t>
        </is>
      </c>
      <c r="G18" s="38" t="inlineStr">
        <is>
          <t>execute API·공방 프롬프트(bp-point-summary) 배포</t>
        </is>
      </c>
      <c r="H18" s="38" t="inlineStr">
        <is>
          <t>본문 대조</t>
        </is>
      </c>
      <c r="I18" s="38" t="inlineStr">
        <is>
          <t>정상 body</t>
        </is>
      </c>
      <c r="J18" s="38" t="inlineStr">
        <is>
          <t>본문에 없는 경력·수치·사실 생성 없음, 모든 항목 본문 근거 기반</t>
        </is>
      </c>
      <c r="K18" s="37" t="inlineStr"/>
      <c r="L18" s="38" t="inlineStr"/>
      <c r="M18" s="38" t="inlineStr"/>
      <c r="N18" s="38" t="inlineStr"/>
      <c r="O18" s="37" t="inlineStr"/>
      <c r="P18" s="37" t="inlineStr"/>
      <c r="Q18" s="37" t="inlineStr"/>
      <c r="R18" s="38" t="inlineStr">
        <is>
          <t>hard fail</t>
        </is>
      </c>
      <c r="S18" s="37" t="inlineStr">
        <is>
          <t>공통</t>
        </is>
      </c>
      <c r="T18" s="37" t="inlineStr">
        <is>
          <t>작업자5</t>
        </is>
      </c>
    </row>
    <row r="19">
      <c r="A19" s="39">
        <f>IFERROR(INDEX('시나리오'!$G$5:$G$11,MATCH($T19,'시나리오'!$L$5:$L$11,0)),$T19)</f>
        <v/>
      </c>
      <c r="B19" s="39" t="inlineStr">
        <is>
          <t>API-018</t>
        </is>
      </c>
      <c r="C19" s="40" t="inlineStr">
        <is>
          <t>API</t>
        </is>
      </c>
      <c r="D19" s="40" t="inlineStr">
        <is>
          <t>④ 자소서 특장점</t>
        </is>
      </c>
      <c r="E19" s="39" t="inlineStr">
        <is>
          <t>P2</t>
        </is>
      </c>
      <c r="F19" s="40" t="inlineStr">
        <is>
          <t>중복 금지</t>
        </is>
      </c>
      <c r="G19" s="40" t="inlineStr">
        <is>
          <t>execute API·공방 프롬프트(bp-point-summary) 배포</t>
        </is>
      </c>
      <c r="H19" s="40" t="inlineStr">
        <is>
          <t>항목 간 의미 중복 확인</t>
        </is>
      </c>
      <c r="I19" s="40" t="inlineStr">
        <is>
          <t>정상 body</t>
        </is>
      </c>
      <c r="J19" s="40" t="inlineStr">
        <is>
          <t>같은 내용 반복 항목 없음</t>
        </is>
      </c>
      <c r="K19" s="39" t="inlineStr"/>
      <c r="L19" s="40" t="inlineStr"/>
      <c r="M19" s="40" t="inlineStr"/>
      <c r="N19" s="40" t="inlineStr"/>
      <c r="O19" s="39" t="inlineStr"/>
      <c r="P19" s="39" t="inlineStr"/>
      <c r="Q19" s="39" t="inlineStr"/>
      <c r="R19" s="40" t="inlineStr"/>
      <c r="S19" s="39" t="inlineStr">
        <is>
          <t>공통</t>
        </is>
      </c>
      <c r="T19" s="39" t="inlineStr">
        <is>
          <t>작업자6</t>
        </is>
      </c>
    </row>
    <row r="20">
      <c r="A20" s="37">
        <f>IFERROR(INDEX('시나리오'!$G$5:$G$11,MATCH($T20,'시나리오'!$L$5:$L$11,0)),$T20)</f>
        <v/>
      </c>
      <c r="B20" s="37" t="inlineStr">
        <is>
          <t>API-019</t>
        </is>
      </c>
      <c r="C20" s="38" t="inlineStr">
        <is>
          <t>API</t>
        </is>
      </c>
      <c r="D20" s="38" t="inlineStr">
        <is>
          <t>④ 자소서 특장점</t>
        </is>
      </c>
      <c r="E20" s="37" t="inlineStr">
        <is>
          <t>P1</t>
        </is>
      </c>
      <c r="F20" s="38" t="inlineStr">
        <is>
          <t>금지어 미사용</t>
        </is>
      </c>
      <c r="G20" s="38" t="inlineStr">
        <is>
          <t>execute API·공방 프롬프트(bp-point-summary) 배포</t>
        </is>
      </c>
      <c r="H20" s="38" t="inlineStr">
        <is>
          <t>금지어 검사</t>
        </is>
      </c>
      <c r="I20" s="38" t="inlineStr">
        <is>
          <t>정상 body</t>
        </is>
      </c>
      <c r="J20" s="38" t="inlineStr">
        <is>
          <t>합격/불합격/적격/부적격/탈락 미포함</t>
        </is>
      </c>
      <c r="K20" s="37" t="inlineStr"/>
      <c r="L20" s="38" t="inlineStr"/>
      <c r="M20" s="38" t="inlineStr"/>
      <c r="N20" s="38" t="inlineStr"/>
      <c r="O20" s="37" t="inlineStr"/>
      <c r="P20" s="37" t="inlineStr"/>
      <c r="Q20" s="37" t="inlineStr"/>
      <c r="R20" s="38" t="inlineStr">
        <is>
          <t>hard fail</t>
        </is>
      </c>
      <c r="S20" s="37" t="inlineStr">
        <is>
          <t>공통</t>
        </is>
      </c>
      <c r="T20" s="37" t="inlineStr">
        <is>
          <t>작업자7</t>
        </is>
      </c>
    </row>
    <row r="21">
      <c r="A21" s="39">
        <f>IFERROR(INDEX('시나리오'!$G$5:$G$11,MATCH($T21,'시나리오'!$L$5:$L$11,0)),$T21)</f>
        <v/>
      </c>
      <c r="B21" s="39" t="inlineStr">
        <is>
          <t>API-020</t>
        </is>
      </c>
      <c r="C21" s="40" t="inlineStr">
        <is>
          <t>API</t>
        </is>
      </c>
      <c r="D21" s="40" t="inlineStr">
        <is>
          <t>④ 자소서 특장점</t>
        </is>
      </c>
      <c r="E21" s="39" t="inlineStr">
        <is>
          <t>P2</t>
        </is>
      </c>
      <c r="F21" s="40" t="inlineStr">
        <is>
          <t>마크업·번호 없음</t>
        </is>
      </c>
      <c r="G21" s="40" t="inlineStr">
        <is>
          <t>execute API·공방 프롬프트(bp-point-summary) 배포</t>
        </is>
      </c>
      <c r="H21" s="40" t="inlineStr">
        <is>
          <t>출력 문자열 검사</t>
        </is>
      </c>
      <c r="I21" s="40" t="inlineStr">
        <is>
          <t>정상 body</t>
        </is>
      </c>
      <c r="J21" s="40" t="inlineStr">
        <is>
          <t>#·##·**·- 마크업, ①②③·1. 번호 없이 순수 문장</t>
        </is>
      </c>
      <c r="K21" s="39" t="inlineStr"/>
      <c r="L21" s="40" t="inlineStr"/>
      <c r="M21" s="40" t="inlineStr"/>
      <c r="N21" s="40" t="inlineStr"/>
      <c r="O21" s="39" t="inlineStr"/>
      <c r="P21" s="39" t="inlineStr"/>
      <c r="Q21" s="39" t="inlineStr"/>
      <c r="R21" s="40" t="inlineStr"/>
      <c r="S21" s="39" t="inlineStr">
        <is>
          <t>공통</t>
        </is>
      </c>
      <c r="T21" s="39" t="inlineStr">
        <is>
          <t>작업자1</t>
        </is>
      </c>
    </row>
    <row r="22">
      <c r="A22" s="37">
        <f>IFERROR(INDEX('시나리오'!$G$5:$G$11,MATCH($T22,'시나리오'!$L$5:$L$11,0)),$T22)</f>
        <v/>
      </c>
      <c r="B22" s="37" t="inlineStr">
        <is>
          <t>API-021</t>
        </is>
      </c>
      <c r="C22" s="38" t="inlineStr">
        <is>
          <t>API</t>
        </is>
      </c>
      <c r="D22" s="38" t="inlineStr">
        <is>
          <t>④ 자소서 특장점</t>
        </is>
      </c>
      <c r="E22" s="37" t="inlineStr">
        <is>
          <t>P2</t>
        </is>
      </c>
      <c r="F22" s="38" t="inlineStr">
        <is>
          <t>입력=body만</t>
        </is>
      </c>
      <c r="G22" s="38" t="inlineStr">
        <is>
          <t>execute API·공방 프롬프트(bp-point-summary) 배포</t>
        </is>
      </c>
      <c r="H22" s="38" t="inlineStr">
        <is>
          <t>입력 구성 확인</t>
        </is>
      </c>
      <c r="I22" s="38" t="inlineStr">
        <is>
          <t>head+body 동시 전달 시도</t>
        </is>
      </c>
      <c r="J22" s="38" t="inlineStr">
        <is>
          <t>질문 head 미포함, 본문만으로 요약(여러 문항이면 답변 이어붙임)</t>
        </is>
      </c>
      <c r="K22" s="37" t="inlineStr"/>
      <c r="L22" s="38" t="inlineStr"/>
      <c r="M22" s="38" t="inlineStr"/>
      <c r="N22" s="38" t="inlineStr"/>
      <c r="O22" s="37" t="inlineStr"/>
      <c r="P22" s="37" t="inlineStr"/>
      <c r="Q22" s="37" t="inlineStr"/>
      <c r="R22" s="38" t="inlineStr"/>
      <c r="S22" s="37" t="inlineStr">
        <is>
          <t>공통</t>
        </is>
      </c>
      <c r="T22" s="37" t="inlineStr">
        <is>
          <t>작업자2</t>
        </is>
      </c>
    </row>
    <row r="23">
      <c r="A23" s="39">
        <f>IFERROR(INDEX('시나리오'!$G$5:$G$11,MATCH($T23,'시나리오'!$L$5:$L$11,0)),$T23)</f>
        <v/>
      </c>
      <c r="B23" s="39" t="inlineStr">
        <is>
          <t>API-022</t>
        </is>
      </c>
      <c r="C23" s="40" t="inlineStr">
        <is>
          <t>API</t>
        </is>
      </c>
      <c r="D23" s="40" t="inlineStr">
        <is>
          <t>④ 자소서 특장점</t>
        </is>
      </c>
      <c r="E23" s="39" t="inlineStr">
        <is>
          <t>P3</t>
        </is>
      </c>
      <c r="F23" s="40" t="inlineStr">
        <is>
          <t>결과지 매핑</t>
        </is>
      </c>
      <c r="G23" s="40" t="inlineStr">
        <is>
          <t>execute API·공방 프롬프트(bp-point-summary) 배포</t>
        </is>
      </c>
      <c r="H23" s="40" t="inlineStr">
        <is>
          <t>P1 summary-bullets 매핑 확인</t>
        </is>
      </c>
      <c r="I23" s="40" t="inlineStr">
        <is>
          <t>정상 highlights</t>
        </is>
      </c>
      <c r="J23" s="40" t="inlineStr">
        <is>
          <t>highlights[]가 결과지 P1 요약카드 불릿에 그대로 매핑(소비측 분해 불필요)</t>
        </is>
      </c>
      <c r="K23" s="39" t="inlineStr"/>
      <c r="L23" s="40" t="inlineStr"/>
      <c r="M23" s="40" t="inlineStr"/>
      <c r="N23" s="40" t="inlineStr"/>
      <c r="O23" s="39" t="inlineStr"/>
      <c r="P23" s="39" t="inlineStr"/>
      <c r="Q23" s="39" t="inlineStr"/>
      <c r="R23" s="40" t="inlineStr"/>
      <c r="S23" s="39" t="inlineStr">
        <is>
          <t>공통</t>
        </is>
      </c>
      <c r="T23" s="39" t="inlineStr">
        <is>
          <t>작업자3</t>
        </is>
      </c>
    </row>
    <row r="24">
      <c r="A24" s="37">
        <f>IFERROR(INDEX('시나리오'!$G$5:$G$11,MATCH($T24,'시나리오'!$L$5:$L$11,0)),$T24)</f>
        <v/>
      </c>
      <c r="B24" s="37" t="inlineStr">
        <is>
          <t>API-023</t>
        </is>
      </c>
      <c r="C24" s="38" t="inlineStr">
        <is>
          <t>API</t>
        </is>
      </c>
      <c r="D24" s="38" t="inlineStr">
        <is>
          <t>② 하드스킬 추출</t>
        </is>
      </c>
      <c r="E24" s="37" t="inlineStr">
        <is>
          <t>P1</t>
        </is>
      </c>
      <c r="F24" s="38" t="inlineStr">
        <is>
          <t>정상 추출</t>
        </is>
      </c>
      <c r="G24" s="38" t="inlineStr">
        <is>
          <t>하드스킬 추출 프롬프트(공방 extract-jd-hardskill) 배포 · JD 입력 가능</t>
        </is>
      </c>
      <c r="H24" s="38" t="inlineStr">
        <is>
          <t>keyValue.jd_text=JD plain text로 호출</t>
        </is>
      </c>
      <c r="I24" s="38" t="inlineStr">
        <is>
          <t>JD 본문</t>
        </is>
      </c>
      <c r="J24" s="38" t="inlineStr">
        <is>
          <t>status=ok, required_hard_skills 5~7개 반환</t>
        </is>
      </c>
      <c r="K24" s="37" t="inlineStr"/>
      <c r="L24" s="38" t="inlineStr"/>
      <c r="M24" s="38" t="inlineStr"/>
      <c r="N24" s="38" t="inlineStr"/>
      <c r="O24" s="37" t="inlineStr"/>
      <c r="P24" s="37" t="inlineStr"/>
      <c r="Q24" s="37" t="inlineStr"/>
      <c r="R24" s="38" t="inlineStr"/>
      <c r="S24" s="37" t="inlineStr">
        <is>
          <t>공통</t>
        </is>
      </c>
      <c r="T24" s="37" t="inlineStr">
        <is>
          <t>작업자4</t>
        </is>
      </c>
    </row>
    <row r="25">
      <c r="A25" s="39">
        <f>IFERROR(INDEX('시나리오'!$G$5:$G$11,MATCH($T25,'시나리오'!$L$5:$L$11,0)),$T25)</f>
        <v/>
      </c>
      <c r="B25" s="39" t="inlineStr">
        <is>
          <t>API-024</t>
        </is>
      </c>
      <c r="C25" s="40" t="inlineStr">
        <is>
          <t>API</t>
        </is>
      </c>
      <c r="D25" s="40" t="inlineStr">
        <is>
          <t>② 하드스킬 추출</t>
        </is>
      </c>
      <c r="E25" s="39" t="inlineStr">
        <is>
          <t>P1</t>
        </is>
      </c>
      <c r="F25" s="40" t="inlineStr">
        <is>
          <t>개수 5~7개</t>
        </is>
      </c>
      <c r="G25" s="40" t="inlineStr">
        <is>
          <t>하드스킬 추출 프롬프트(공방 extract-jd-hardskill) 배포 · JD 입력 가능</t>
        </is>
      </c>
      <c r="H25" s="40" t="inlineStr">
        <is>
          <t>목록 길이 확인</t>
        </is>
      </c>
      <c r="I25" s="40" t="inlineStr">
        <is>
          <t>정상 JD</t>
        </is>
      </c>
      <c r="J25" s="40" t="inlineStr">
        <is>
          <t>required_hard_skills 5~7개(미만/초과 재실행)</t>
        </is>
      </c>
      <c r="K25" s="39" t="inlineStr"/>
      <c r="L25" s="40" t="inlineStr"/>
      <c r="M25" s="40" t="inlineStr"/>
      <c r="N25" s="40" t="inlineStr"/>
      <c r="O25" s="39" t="inlineStr"/>
      <c r="P25" s="39" t="inlineStr"/>
      <c r="Q25" s="39" t="inlineStr"/>
      <c r="R25" s="40" t="inlineStr"/>
      <c r="S25" s="39" t="inlineStr">
        <is>
          <t>공통</t>
        </is>
      </c>
      <c r="T25" s="39" t="inlineStr">
        <is>
          <t>작업자5</t>
        </is>
      </c>
    </row>
    <row r="26">
      <c r="A26" s="37">
        <f>IFERROR(INDEX('시나리오'!$G$5:$G$11,MATCH($T26,'시나리오'!$L$5:$L$11,0)),$T26)</f>
        <v/>
      </c>
      <c r="B26" s="37" t="inlineStr">
        <is>
          <t>API-025</t>
        </is>
      </c>
      <c r="C26" s="38" t="inlineStr">
        <is>
          <t>API</t>
        </is>
      </c>
      <c r="D26" s="38" t="inlineStr">
        <is>
          <t>② 하드스킬 추출</t>
        </is>
      </c>
      <c r="E26" s="37" t="inlineStr">
        <is>
          <t>P1</t>
        </is>
      </c>
      <c r="F26" s="38" t="inlineStr">
        <is>
          <t>3범주만</t>
        </is>
      </c>
      <c r="G26" s="38" t="inlineStr">
        <is>
          <t>하드스킬 추출 프롬프트(공방 extract-jd-hardskill) 배포 · JD 입력 가능</t>
        </is>
      </c>
      <c r="H26" s="38" t="inlineStr">
        <is>
          <t>category 값 확인</t>
        </is>
      </c>
      <c r="I26" s="38" t="inlineStr">
        <is>
          <t>정상 JD</t>
        </is>
      </c>
      <c r="J26" s="38" t="inlineStr">
        <is>
          <t>category가 tool_based/method_based/knowledge_based만(경험·산출물 유형 추출 안 함)</t>
        </is>
      </c>
      <c r="K26" s="37" t="inlineStr"/>
      <c r="L26" s="38" t="inlineStr"/>
      <c r="M26" s="38" t="inlineStr"/>
      <c r="N26" s="38" t="inlineStr"/>
      <c r="O26" s="37" t="inlineStr"/>
      <c r="P26" s="37" t="inlineStr"/>
      <c r="Q26" s="37" t="inlineStr"/>
      <c r="R26" s="38" t="inlineStr"/>
      <c r="S26" s="37" t="inlineStr">
        <is>
          <t>공통</t>
        </is>
      </c>
      <c r="T26" s="37" t="inlineStr">
        <is>
          <t>작업자6</t>
        </is>
      </c>
    </row>
    <row r="27">
      <c r="A27" s="39">
        <f>IFERROR(INDEX('시나리오'!$G$5:$G$11,MATCH($T27,'시나리오'!$L$5:$L$11,0)),$T27)</f>
        <v/>
      </c>
      <c r="B27" s="39" t="inlineStr">
        <is>
          <t>API-026</t>
        </is>
      </c>
      <c r="C27" s="40" t="inlineStr">
        <is>
          <t>API</t>
        </is>
      </c>
      <c r="D27" s="40" t="inlineStr">
        <is>
          <t>② 하드스킬 추출</t>
        </is>
      </c>
      <c r="E27" s="39" t="inlineStr">
        <is>
          <t>P1</t>
        </is>
      </c>
      <c r="F27" s="40" t="inlineStr">
        <is>
          <t>evidence_from_input 원문 보존</t>
        </is>
      </c>
      <c r="G27" s="40" t="inlineStr">
        <is>
          <t>하드스킬 추출 프롬프트(공방 extract-jd-hardskill) 배포 · JD 입력 가능</t>
        </is>
      </c>
      <c r="H27" s="40" t="inlineStr">
        <is>
          <t>원문 대조</t>
        </is>
      </c>
      <c r="I27" s="40" t="inlineStr">
        <is>
          <t>정상 JD</t>
        </is>
      </c>
      <c r="J27" s="40" t="inlineStr">
        <is>
          <t>각 항목 evidence_from_input에 JD 원문 일부 그대로 보존(무근거 금지)</t>
        </is>
      </c>
      <c r="K27" s="39" t="inlineStr"/>
      <c r="L27" s="40" t="inlineStr"/>
      <c r="M27" s="40" t="inlineStr"/>
      <c r="N27" s="40" t="inlineStr"/>
      <c r="O27" s="39" t="inlineStr"/>
      <c r="P27" s="39" t="inlineStr"/>
      <c r="Q27" s="39" t="inlineStr"/>
      <c r="R27" s="40" t="inlineStr"/>
      <c r="S27" s="39" t="inlineStr">
        <is>
          <t>공통</t>
        </is>
      </c>
      <c r="T27" s="39" t="inlineStr">
        <is>
          <t>작업자7</t>
        </is>
      </c>
    </row>
    <row r="28">
      <c r="A28" s="37">
        <f>IFERROR(INDEX('시나리오'!$G$5:$G$11,MATCH($T28,'시나리오'!$L$5:$L$11,0)),$T28)</f>
        <v/>
      </c>
      <c r="B28" s="37" t="inlineStr">
        <is>
          <t>API-027</t>
        </is>
      </c>
      <c r="C28" s="38" t="inlineStr">
        <is>
          <t>API</t>
        </is>
      </c>
      <c r="D28" s="38" t="inlineStr">
        <is>
          <t>② 하드스킬 추출</t>
        </is>
      </c>
      <c r="E28" s="37" t="inlineStr">
        <is>
          <t>P1</t>
        </is>
      </c>
      <c r="F28" s="38" t="inlineStr">
        <is>
          <t>검출 기준 동반 생성</t>
        </is>
      </c>
      <c r="G28" s="38" t="inlineStr">
        <is>
          <t>하드스킬 추출 프롬프트(공방 extract-jd-hardskill) 배포 · JD 입력 가능</t>
        </is>
      </c>
      <c r="H28" s="38" t="inlineStr">
        <is>
          <t>detection_criteria 확인</t>
        </is>
      </c>
      <c r="I28" s="38" t="inlineStr">
        <is>
          <t>정상 JD</t>
        </is>
      </c>
      <c r="J28" s="38" t="inlineStr">
        <is>
          <t>각 하드스킬에 detection_criteria(ⓐ인정+ⓑ배제 조건) 존재, 누락 시 보강</t>
        </is>
      </c>
      <c r="K28" s="37" t="inlineStr"/>
      <c r="L28" s="38" t="inlineStr"/>
      <c r="M28" s="38" t="inlineStr"/>
      <c r="N28" s="38" t="inlineStr"/>
      <c r="O28" s="37" t="inlineStr"/>
      <c r="P28" s="37" t="inlineStr"/>
      <c r="Q28" s="37" t="inlineStr"/>
      <c r="R28" s="38" t="inlineStr"/>
      <c r="S28" s="37" t="inlineStr">
        <is>
          <t>공통</t>
        </is>
      </c>
      <c r="T28" s="37" t="inlineStr">
        <is>
          <t>작업자1</t>
        </is>
      </c>
    </row>
    <row r="29">
      <c r="A29" s="39">
        <f>IFERROR(INDEX('시나리오'!$G$5:$G$11,MATCH($T29,'시나리오'!$L$5:$L$11,0)),$T29)</f>
        <v/>
      </c>
      <c r="B29" s="39" t="inlineStr">
        <is>
          <t>API-028</t>
        </is>
      </c>
      <c r="C29" s="40" t="inlineStr">
        <is>
          <t>API</t>
        </is>
      </c>
      <c r="D29" s="40" t="inlineStr">
        <is>
          <t>② 하드스킬 추출</t>
        </is>
      </c>
      <c r="E29" s="39" t="inlineStr">
        <is>
          <t>P1</t>
        </is>
      </c>
      <c r="F29" s="40" t="inlineStr">
        <is>
          <t>Hard↔Soft 혼동 금지</t>
        </is>
      </c>
      <c r="G29" s="40" t="inlineStr">
        <is>
          <t>하드스킬 추출 프롬프트(공방 extract-jd-hardskill) 배포 · JD 입력 가능</t>
        </is>
      </c>
      <c r="H29" s="40" t="inlineStr">
        <is>
          <t>결과 검사</t>
        </is>
      </c>
      <c r="I29" s="40" t="inlineStr">
        <is>
          <t>'성실'·'소통' 등 태도 포함 JD</t>
        </is>
      </c>
      <c r="J29" s="40" t="inlineStr">
        <is>
          <t>소프트스킬(태도·성향) 미추출, 혼입 시 실패</t>
        </is>
      </c>
      <c r="K29" s="39" t="inlineStr"/>
      <c r="L29" s="40" t="inlineStr"/>
      <c r="M29" s="40" t="inlineStr"/>
      <c r="N29" s="40" t="inlineStr"/>
      <c r="O29" s="39" t="inlineStr"/>
      <c r="P29" s="39" t="inlineStr"/>
      <c r="Q29" s="39" t="inlineStr"/>
      <c r="R29" s="40" t="inlineStr">
        <is>
          <t>hard fail</t>
        </is>
      </c>
      <c r="S29" s="39" t="inlineStr">
        <is>
          <t>공통</t>
        </is>
      </c>
      <c r="T29" s="39" t="inlineStr">
        <is>
          <t>작업자2</t>
        </is>
      </c>
    </row>
    <row r="30">
      <c r="A30" s="37">
        <f>IFERROR(INDEX('시나리오'!$G$5:$G$11,MATCH($T30,'시나리오'!$L$5:$L$11,0)),$T30)</f>
        <v/>
      </c>
      <c r="B30" s="37" t="inlineStr">
        <is>
          <t>API-029</t>
        </is>
      </c>
      <c r="C30" s="38" t="inlineStr">
        <is>
          <t>API</t>
        </is>
      </c>
      <c r="D30" s="38" t="inlineStr">
        <is>
          <t>② 하드스킬 추출</t>
        </is>
      </c>
      <c r="E30" s="37" t="inlineStr">
        <is>
          <t>P1</t>
        </is>
      </c>
      <c r="F30" s="38" t="inlineStr">
        <is>
          <t>필수 누락 시 중단</t>
        </is>
      </c>
      <c r="G30" s="38" t="inlineStr">
        <is>
          <t>하드스킬 추출 프롬프트(공방 extract-jd-hardskill) 배포 · JD 입력 가능</t>
        </is>
      </c>
      <c r="H30" s="38" t="inlineStr">
        <is>
          <t>응답 확인</t>
        </is>
      </c>
      <c r="I30" s="38" t="inlineStr">
        <is>
          <t>job_title·핵심업무 없는 JD</t>
        </is>
      </c>
      <c r="J30" s="38" t="inlineStr">
        <is>
          <t>job_title/key_responsibilities 없으면 중단·재요청(required_competencies 없으면 진행하되 하드스킬 빌 수 있음)</t>
        </is>
      </c>
      <c r="K30" s="37" t="inlineStr"/>
      <c r="L30" s="38" t="inlineStr"/>
      <c r="M30" s="38" t="inlineStr"/>
      <c r="N30" s="38" t="inlineStr"/>
      <c r="O30" s="37" t="inlineStr"/>
      <c r="P30" s="37" t="inlineStr"/>
      <c r="Q30" s="37" t="inlineStr"/>
      <c r="R30" s="38" t="inlineStr"/>
      <c r="S30" s="37" t="inlineStr">
        <is>
          <t>공통</t>
        </is>
      </c>
      <c r="T30" s="37" t="inlineStr">
        <is>
          <t>작업자3</t>
        </is>
      </c>
    </row>
    <row r="31">
      <c r="A31" s="39">
        <f>IFERROR(INDEX('시나리오'!$G$5:$G$11,MATCH($T31,'시나리오'!$L$5:$L$11,0)),$T31)</f>
        <v/>
      </c>
      <c r="B31" s="39" t="inlineStr">
        <is>
          <t>API-030</t>
        </is>
      </c>
      <c r="C31" s="40" t="inlineStr">
        <is>
          <t>API</t>
        </is>
      </c>
      <c r="D31" s="40" t="inlineStr">
        <is>
          <t>② 하드스킬 추출</t>
        </is>
      </c>
      <c r="E31" s="39" t="inlineStr">
        <is>
          <t>P2</t>
        </is>
      </c>
      <c r="F31" s="40" t="inlineStr">
        <is>
          <t>임의 추가 금지</t>
        </is>
      </c>
      <c r="G31" s="40" t="inlineStr">
        <is>
          <t>하드스킬 추출 프롬프트(공방 extract-jd-hardskill) 배포 · JD 입력 가능</t>
        </is>
      </c>
      <c r="H31" s="40" t="inlineStr">
        <is>
          <t>결과 검사</t>
        </is>
      </c>
      <c r="I31" s="40" t="inlineStr">
        <is>
          <t>팀·연차 미기재 JD</t>
        </is>
      </c>
      <c r="J31" s="40" t="inlineStr">
        <is>
          <t>팀명·부서·경력연차·학력·보상·근무지·고용형태를 임의 추정·추가 안 함(미입력은 missing_information)</t>
        </is>
      </c>
      <c r="K31" s="39" t="inlineStr"/>
      <c r="L31" s="40" t="inlineStr"/>
      <c r="M31" s="40" t="inlineStr"/>
      <c r="N31" s="40" t="inlineStr"/>
      <c r="O31" s="39" t="inlineStr"/>
      <c r="P31" s="39" t="inlineStr"/>
      <c r="Q31" s="39" t="inlineStr"/>
      <c r="R31" s="40" t="inlineStr"/>
      <c r="S31" s="39" t="inlineStr">
        <is>
          <t>공통</t>
        </is>
      </c>
      <c r="T31" s="39" t="inlineStr">
        <is>
          <t>작업자4</t>
        </is>
      </c>
    </row>
    <row r="32">
      <c r="A32" s="37">
        <f>IFERROR(INDEX('시나리오'!$G$5:$G$11,MATCH($T32,'시나리오'!$L$5:$L$11,0)),$T32)</f>
        <v/>
      </c>
      <c r="B32" s="37" t="inlineStr">
        <is>
          <t>API-031</t>
        </is>
      </c>
      <c r="C32" s="38" t="inlineStr">
        <is>
          <t>API</t>
        </is>
      </c>
      <c r="D32" s="38" t="inlineStr">
        <is>
          <t>② 하드스킬 추출</t>
        </is>
      </c>
      <c r="E32" s="37" t="inlineStr">
        <is>
          <t>P2</t>
        </is>
      </c>
      <c r="F32" s="38" t="inlineStr">
        <is>
          <t>capability 문장화</t>
        </is>
      </c>
      <c r="G32" s="38" t="inlineStr">
        <is>
          <t>하드스킬 추출 프롬프트(공방 extract-jd-hardskill) 배포 · JD 입력 가능</t>
        </is>
      </c>
      <c r="H32" s="38" t="inlineStr">
        <is>
          <t>rewritten_as_capability 확인</t>
        </is>
      </c>
      <c r="I32" s="38" t="inlineStr">
        <is>
          <t>정상 JD</t>
        </is>
      </c>
      <c r="J32" s="38" t="inlineStr">
        <is>
          <t>단순 키워드가 아닌 '목적어+동사+관찰 가능 결과물' 한 문장</t>
        </is>
      </c>
      <c r="K32" s="37" t="inlineStr"/>
      <c r="L32" s="38" t="inlineStr"/>
      <c r="M32" s="38" t="inlineStr"/>
      <c r="N32" s="38" t="inlineStr"/>
      <c r="O32" s="37" t="inlineStr"/>
      <c r="P32" s="37" t="inlineStr"/>
      <c r="Q32" s="37" t="inlineStr"/>
      <c r="R32" s="38" t="inlineStr"/>
      <c r="S32" s="37" t="inlineStr">
        <is>
          <t>공통</t>
        </is>
      </c>
      <c r="T32" s="37" t="inlineStr">
        <is>
          <t>작업자5</t>
        </is>
      </c>
    </row>
    <row r="33">
      <c r="A33" s="39">
        <f>IFERROR(INDEX('시나리오'!$G$5:$G$11,MATCH($T33,'시나리오'!$L$5:$L$11,0)),$T33)</f>
        <v/>
      </c>
      <c r="B33" s="39" t="inlineStr">
        <is>
          <t>API-032</t>
        </is>
      </c>
      <c r="C33" s="40" t="inlineStr">
        <is>
          <t>API</t>
        </is>
      </c>
      <c r="D33" s="40" t="inlineStr">
        <is>
          <t>② 하드스킬 추출</t>
        </is>
      </c>
      <c r="E33" s="39" t="inlineStr">
        <is>
          <t>P2</t>
        </is>
      </c>
      <c r="F33" s="40" t="inlineStr">
        <is>
          <t>필수/우대 분류</t>
        </is>
      </c>
      <c r="G33" s="40" t="inlineStr">
        <is>
          <t>하드스킬 추출 프롬프트(공방 extract-jd-hardskill) 배포 · JD 입력 가능</t>
        </is>
      </c>
      <c r="H33" s="40" t="inlineStr">
        <is>
          <t>requirement_type 확인</t>
        </is>
      </c>
      <c r="I33" s="40" t="inlineStr">
        <is>
          <t>우대사항 포함 JD</t>
        </is>
      </c>
      <c r="J33" s="40" t="inlineStr">
        <is>
          <t>지원자격·필수→must_have, 우대→nice_to_have 정확 분류</t>
        </is>
      </c>
      <c r="K33" s="39" t="inlineStr"/>
      <c r="L33" s="40" t="inlineStr"/>
      <c r="M33" s="40" t="inlineStr"/>
      <c r="N33" s="40" t="inlineStr"/>
      <c r="O33" s="39" t="inlineStr"/>
      <c r="P33" s="39" t="inlineStr"/>
      <c r="Q33" s="39" t="inlineStr"/>
      <c r="R33" s="40" t="inlineStr"/>
      <c r="S33" s="39" t="inlineStr">
        <is>
          <t>공통</t>
        </is>
      </c>
      <c r="T33" s="39" t="inlineStr">
        <is>
          <t>작업자6</t>
        </is>
      </c>
    </row>
    <row r="34">
      <c r="A34" s="37">
        <f>IFERROR(INDEX('시나리오'!$G$5:$G$11,MATCH($T34,'시나리오'!$L$5:$L$11,0)),$T34)</f>
        <v/>
      </c>
      <c r="B34" s="37" t="inlineStr">
        <is>
          <t>API-033</t>
        </is>
      </c>
      <c r="C34" s="38" t="inlineStr">
        <is>
          <t>API</t>
        </is>
      </c>
      <c r="D34" s="38" t="inlineStr">
        <is>
          <t>② 하드스킬 추출</t>
        </is>
      </c>
      <c r="E34" s="37" t="inlineStr">
        <is>
          <t>P2</t>
        </is>
      </c>
      <c r="F34" s="38" t="inlineStr">
        <is>
          <t>입력 흐름(접수 업로드→매니저 plain text)</t>
        </is>
      </c>
      <c r="G34" s="38" t="inlineStr">
        <is>
          <t>하드스킬 추출 프롬프트(공방 extract-jd-hardskill) 배포 · JD 입력 가능</t>
        </is>
      </c>
      <c r="H34" s="38" t="inlineStr">
        <is>
          <t>입력 경로 확인</t>
        </is>
      </c>
      <c r="I34" s="38" t="inlineStr">
        <is>
          <t>JD 파일→텍스트</t>
        </is>
      </c>
      <c r="J34" s="38" t="inlineStr">
        <is>
          <t>고객사가 접수 화면에서 JD/채용공고 파일 업로드 → 운영자가 다운로드해 매니저에 plain text 직접 입력 → 추출 API 입력=plain text. 키워드 확장 없음(AI 프롬프트 매칭)</t>
        </is>
      </c>
      <c r="K34" s="37" t="inlineStr"/>
      <c r="L34" s="38" t="inlineStr"/>
      <c r="M34" s="38" t="inlineStr"/>
      <c r="N34" s="38" t="inlineStr"/>
      <c r="O34" s="37" t="inlineStr"/>
      <c r="P34" s="37" t="inlineStr"/>
      <c r="Q34" s="37" t="inlineStr"/>
      <c r="R34" s="38" t="inlineStr">
        <is>
          <t>확정 2026-06-24</t>
        </is>
      </c>
      <c r="S34" s="37" t="inlineStr">
        <is>
          <t>공통</t>
        </is>
      </c>
      <c r="T34" s="37" t="inlineStr">
        <is>
          <t>작업자7</t>
        </is>
      </c>
    </row>
    <row r="35">
      <c r="A35" s="39">
        <f>IFERROR(INDEX('시나리오'!$G$5:$G$11,MATCH($T35,'시나리오'!$L$5:$L$11,0)),$T35)</f>
        <v/>
      </c>
      <c r="B35" s="39" t="inlineStr">
        <is>
          <t>API-034</t>
        </is>
      </c>
      <c r="C35" s="40" t="inlineStr">
        <is>
          <t>API</t>
        </is>
      </c>
      <c r="D35" s="40" t="inlineStr">
        <is>
          <t>③ 하드스킬 검출</t>
        </is>
      </c>
      <c r="E35" s="39" t="inlineStr">
        <is>
          <t>P1</t>
        </is>
      </c>
      <c r="F35" s="40" t="inlineStr">
        <is>
          <t>정상 검출</t>
        </is>
      </c>
      <c r="G35" s="40" t="inlineStr">
        <is>
          <t>COMMON/EXTRACT-EVIDENCE(공방 hardskill-extract-evidence-test, 폴백 EVALUATE) 가용 · 1단계 하드스킬+검출기준 확보</t>
        </is>
      </c>
      <c r="H35" s="40" t="inlineStr">
        <is>
          <t>key·rubric·body로 호출</t>
        </is>
      </c>
      <c r="I35" s="40" t="inlineStr">
        <is>
          <t>자소서+하드스킬 목록</t>
        </is>
      </c>
      <c r="J35" s="40" t="inlineStr">
        <is>
          <t>status=ok, result[].key별 evidence(근거문장) 반환</t>
        </is>
      </c>
      <c r="K35" s="39" t="inlineStr"/>
      <c r="L35" s="40" t="inlineStr"/>
      <c r="M35" s="40" t="inlineStr"/>
      <c r="N35" s="40" t="inlineStr"/>
      <c r="O35" s="39" t="inlineStr"/>
      <c r="P35" s="39" t="inlineStr"/>
      <c r="Q35" s="39" t="inlineStr"/>
      <c r="R35" s="40" t="inlineStr"/>
      <c r="S35" s="39" t="inlineStr">
        <is>
          <t>공통</t>
        </is>
      </c>
      <c r="T35" s="39" t="inlineStr">
        <is>
          <t>작업자1</t>
        </is>
      </c>
    </row>
    <row r="36">
      <c r="A36" s="37">
        <f>IFERROR(INDEX('시나리오'!$G$5:$G$11,MATCH($T36,'시나리오'!$L$5:$L$11,0)),$T36)</f>
        <v/>
      </c>
      <c r="B36" s="37" t="inlineStr">
        <is>
          <t>API-035</t>
        </is>
      </c>
      <c r="C36" s="38" t="inlineStr">
        <is>
          <t>API</t>
        </is>
      </c>
      <c r="D36" s="38" t="inlineStr">
        <is>
          <t>③ 하드스킬 검출</t>
        </is>
      </c>
      <c r="E36" s="37" t="inlineStr">
        <is>
          <t>P1</t>
        </is>
      </c>
      <c r="F36" s="38" t="inlineStr">
        <is>
          <t>rubric inline 전달</t>
        </is>
      </c>
      <c r="G36" s="38" t="inlineStr">
        <is>
          <t>COMMON/EXTRACT-EVIDENCE(공방 hardskill-extract-evidence-test, 폴백 EVALUATE) 가용 · 1단계 하드스킬+검출기준 확보</t>
        </is>
      </c>
      <c r="H36" s="38" t="inlineStr">
        <is>
          <t>rubric 구성 확인</t>
        </is>
      </c>
      <c r="I36" s="38" t="inlineStr">
        <is>
          <t>1단계 검출기준</t>
        </is>
      </c>
      <c r="J36" s="38" t="inlineStr">
        <is>
          <t>rubric에 모든 key의 검출 기준 포함(누락 key 없음)</t>
        </is>
      </c>
      <c r="K36" s="37" t="inlineStr"/>
      <c r="L36" s="38" t="inlineStr"/>
      <c r="M36" s="38" t="inlineStr"/>
      <c r="N36" s="38" t="inlineStr"/>
      <c r="O36" s="37" t="inlineStr"/>
      <c r="P36" s="37" t="inlineStr"/>
      <c r="Q36" s="37" t="inlineStr"/>
      <c r="R36" s="38" t="inlineStr"/>
      <c r="S36" s="37" t="inlineStr">
        <is>
          <t>공통</t>
        </is>
      </c>
      <c r="T36" s="37" t="inlineStr">
        <is>
          <t>작업자2</t>
        </is>
      </c>
    </row>
    <row r="37">
      <c r="A37" s="39">
        <f>IFERROR(INDEX('시나리오'!$G$5:$G$11,MATCH($T37,'시나리오'!$L$5:$L$11,0)),$T37)</f>
        <v/>
      </c>
      <c r="B37" s="39" t="inlineStr">
        <is>
          <t>API-036</t>
        </is>
      </c>
      <c r="C37" s="40" t="inlineStr">
        <is>
          <t>API</t>
        </is>
      </c>
      <c r="D37" s="40" t="inlineStr">
        <is>
          <t>③ 하드스킬 검출</t>
        </is>
      </c>
      <c r="E37" s="39" t="inlineStr">
        <is>
          <t>P1</t>
        </is>
      </c>
      <c r="F37" s="40" t="inlineStr">
        <is>
          <t>검출/미검출 판정</t>
        </is>
      </c>
      <c r="G37" s="40" t="inlineStr">
        <is>
          <t>COMMON/EXTRACT-EVIDENCE(공방 hardskill-extract-evidence-test, 폴백 EVALUATE) 가용 · 1단계 하드스킬+검출기준 확보</t>
        </is>
      </c>
      <c r="H37" s="40" t="inlineStr">
        <is>
          <t>score/confidence 기준 판정 확인</t>
        </is>
      </c>
      <c r="I37" s="40" t="inlineStr">
        <is>
          <t>정상 호출</t>
        </is>
      </c>
      <c r="J37" s="40" t="inlineStr">
        <is>
          <t>score 기준 검출/미검출 판정(minEvidenceItem=1이라 evidence ≥1, score 낮으면 미검출)</t>
        </is>
      </c>
      <c r="K37" s="39" t="inlineStr"/>
      <c r="L37" s="40" t="inlineStr"/>
      <c r="M37" s="40" t="inlineStr"/>
      <c r="N37" s="40" t="inlineStr"/>
      <c r="O37" s="39" t="inlineStr"/>
      <c r="P37" s="39" t="inlineStr"/>
      <c r="Q37" s="39" t="inlineStr"/>
      <c r="R37" s="40" t="inlineStr"/>
      <c r="S37" s="39" t="inlineStr">
        <is>
          <t>공통</t>
        </is>
      </c>
      <c r="T37" s="39" t="inlineStr">
        <is>
          <t>작업자3</t>
        </is>
      </c>
    </row>
    <row r="38">
      <c r="A38" s="37">
        <f>IFERROR(INDEX('시나리오'!$G$5:$G$11,MATCH($T38,'시나리오'!$L$5:$L$11,0)),$T38)</f>
        <v/>
      </c>
      <c r="B38" s="37" t="inlineStr">
        <is>
          <t>API-037</t>
        </is>
      </c>
      <c r="C38" s="38" t="inlineStr">
        <is>
          <t>API</t>
        </is>
      </c>
      <c r="D38" s="38" t="inlineStr">
        <is>
          <t>③ 하드스킬 검출</t>
        </is>
      </c>
      <c r="E38" s="37" t="inlineStr">
        <is>
          <t>P1</t>
        </is>
      </c>
      <c r="F38" s="38" t="inlineStr">
        <is>
          <t>무근거 금지</t>
        </is>
      </c>
      <c r="G38" s="38" t="inlineStr">
        <is>
          <t>COMMON/EXTRACT-EVIDENCE(공방 hardskill-extract-evidence-test, 폴백 EVALUATE) 가용 · 1단계 하드스킬+검출기준 확보</t>
        </is>
      </c>
      <c r="H38" s="38" t="inlineStr">
        <is>
          <t>evidence 본문 대조</t>
        </is>
      </c>
      <c r="I38" s="38" t="inlineStr">
        <is>
          <t>정상 호출</t>
        </is>
      </c>
      <c r="J38" s="38" t="inlineStr">
        <is>
          <t>자소서에 실제로 있는 문장만 evidence로 반환(없는 근거 생성 없음)</t>
        </is>
      </c>
      <c r="K38" s="37" t="inlineStr"/>
      <c r="L38" s="38" t="inlineStr"/>
      <c r="M38" s="38" t="inlineStr"/>
      <c r="N38" s="38" t="inlineStr"/>
      <c r="O38" s="37" t="inlineStr"/>
      <c r="P38" s="37" t="inlineStr"/>
      <c r="Q38" s="37" t="inlineStr"/>
      <c r="R38" s="38" t="inlineStr">
        <is>
          <t>hard fail</t>
        </is>
      </c>
      <c r="S38" s="37" t="inlineStr">
        <is>
          <t>공통</t>
        </is>
      </c>
      <c r="T38" s="37" t="inlineStr">
        <is>
          <t>작업자4</t>
        </is>
      </c>
    </row>
    <row r="39">
      <c r="A39" s="39">
        <f>IFERROR(INDEX('시나리오'!$G$5:$G$11,MATCH($T39,'시나리오'!$L$5:$L$11,0)),$T39)</f>
        <v/>
      </c>
      <c r="B39" s="39" t="inlineStr">
        <is>
          <t>API-038</t>
        </is>
      </c>
      <c r="C39" s="40" t="inlineStr">
        <is>
          <t>API</t>
        </is>
      </c>
      <c r="D39" s="40" t="inlineStr">
        <is>
          <t>③ 하드스킬 검출</t>
        </is>
      </c>
      <c r="E39" s="39" t="inlineStr">
        <is>
          <t>P1</t>
        </is>
      </c>
      <c r="F39" s="40" t="inlineStr">
        <is>
          <t>배제 조건 적용</t>
        </is>
      </c>
      <c r="G39" s="40" t="inlineStr">
        <is>
          <t>COMMON/EXTRACT-EVIDENCE(공방 hardskill-extract-evidence-test, 폴백 EVALUATE) 가용 · 1단계 하드스킬+검출기준 확보</t>
        </is>
      </c>
      <c r="H39" s="40" t="inlineStr">
        <is>
          <t>오검출 확인</t>
        </is>
      </c>
      <c r="I39" s="40" t="inlineStr">
        <is>
          <t>피상적·동음이의 포함 자소서</t>
        </is>
      </c>
      <c r="J39" s="40" t="inlineStr">
        <is>
          <t>ⓑ배제 조건(피상적 언급·동음이의) 근거 불인정, 단어 일치만으로 채택 안 함 → score 낮게/미검출</t>
        </is>
      </c>
      <c r="K39" s="39" t="inlineStr"/>
      <c r="L39" s="40" t="inlineStr"/>
      <c r="M39" s="40" t="inlineStr"/>
      <c r="N39" s="40" t="inlineStr"/>
      <c r="O39" s="39" t="inlineStr"/>
      <c r="P39" s="39" t="inlineStr"/>
      <c r="Q39" s="39" t="inlineStr"/>
      <c r="R39" s="40" t="inlineStr"/>
      <c r="S39" s="39" t="inlineStr">
        <is>
          <t>공통</t>
        </is>
      </c>
      <c r="T39" s="39" t="inlineStr">
        <is>
          <t>작업자5</t>
        </is>
      </c>
    </row>
    <row r="40">
      <c r="A40" s="37">
        <f>IFERROR(INDEX('시나리오'!$G$5:$G$11,MATCH($T40,'시나리오'!$L$5:$L$11,0)),$T40)</f>
        <v/>
      </c>
      <c r="B40" s="37" t="inlineStr">
        <is>
          <t>API-039</t>
        </is>
      </c>
      <c r="C40" s="38" t="inlineStr">
        <is>
          <t>API</t>
        </is>
      </c>
      <c r="D40" s="38" t="inlineStr">
        <is>
          <t>③ 하드스킬 검출</t>
        </is>
      </c>
      <c r="E40" s="37" t="inlineStr">
        <is>
          <t>P2</t>
        </is>
      </c>
      <c r="F40" s="38" t="inlineStr">
        <is>
          <t>근거 개수 제약</t>
        </is>
      </c>
      <c r="G40" s="38" t="inlineStr">
        <is>
          <t>COMMON/EXTRACT-EVIDENCE(공방 hardskill-extract-evidence-test, 폴백 EVALUATE) 가용 · 1단계 하드스킬+검출기준 확보</t>
        </is>
      </c>
      <c r="H40" s="38" t="inlineStr">
        <is>
          <t>evidence 개수 확인</t>
        </is>
      </c>
      <c r="I40" s="38" t="inlineStr">
        <is>
          <t>minEvidenceItem=1,max=5</t>
        </is>
      </c>
      <c r="J40" s="38" t="inlineStr">
        <is>
          <t>키별 evidence 1~5개</t>
        </is>
      </c>
      <c r="K40" s="37" t="inlineStr"/>
      <c r="L40" s="38" t="inlineStr"/>
      <c r="M40" s="38" t="inlineStr"/>
      <c r="N40" s="38" t="inlineStr"/>
      <c r="O40" s="37" t="inlineStr"/>
      <c r="P40" s="37" t="inlineStr"/>
      <c r="Q40" s="37" t="inlineStr"/>
      <c r="R40" s="38" t="inlineStr"/>
      <c r="S40" s="37" t="inlineStr">
        <is>
          <t>공통</t>
        </is>
      </c>
      <c r="T40" s="37" t="inlineStr">
        <is>
          <t>작업자6</t>
        </is>
      </c>
    </row>
    <row r="41">
      <c r="A41" s="39">
        <f>IFERROR(INDEX('시나리오'!$G$5:$G$11,MATCH($T41,'시나리오'!$L$5:$L$11,0)),$T41)</f>
        <v/>
      </c>
      <c r="B41" s="39" t="inlineStr">
        <is>
          <t>API-040</t>
        </is>
      </c>
      <c r="C41" s="40" t="inlineStr">
        <is>
          <t>API</t>
        </is>
      </c>
      <c r="D41" s="40" t="inlineStr">
        <is>
          <t>③ 하드스킬 검출</t>
        </is>
      </c>
      <c r="E41" s="39" t="inlineStr">
        <is>
          <t>P2</t>
        </is>
      </c>
      <c r="F41" s="40" t="inlineStr">
        <is>
          <t>offset 반환</t>
        </is>
      </c>
      <c r="G41" s="40" t="inlineStr">
        <is>
          <t>COMMON/EXTRACT-EVIDENCE(공방 hardskill-extract-evidence-test, 폴백 EVALUATE) 가용 · 1단계 하드스킬+검출기준 확보</t>
        </is>
      </c>
      <c r="H41" s="40" t="inlineStr">
        <is>
          <t>evidence 위치값 확인</t>
        </is>
      </c>
      <c r="I41" s="40" t="inlineStr">
        <is>
          <t>정상 호출</t>
        </is>
      </c>
      <c r="J41" s="40" t="inlineStr">
        <is>
          <t>evidence[].bodyIndex/beginOffset/endOffset 반환(결과지 하이라이트용)</t>
        </is>
      </c>
      <c r="K41" s="39" t="inlineStr"/>
      <c r="L41" s="40" t="inlineStr"/>
      <c r="M41" s="40" t="inlineStr"/>
      <c r="N41" s="40" t="inlineStr"/>
      <c r="O41" s="39" t="inlineStr"/>
      <c r="P41" s="39" t="inlineStr"/>
      <c r="Q41" s="39" t="inlineStr"/>
      <c r="R41" s="40" t="inlineStr"/>
      <c r="S41" s="39" t="inlineStr">
        <is>
          <t>공통</t>
        </is>
      </c>
      <c r="T41" s="39" t="inlineStr">
        <is>
          <t>작업자7</t>
        </is>
      </c>
    </row>
    <row r="42">
      <c r="A42" s="37">
        <f>IFERROR(INDEX('시나리오'!$G$5:$G$11,MATCH($T42,'시나리오'!$L$5:$L$11,0)),$T42)</f>
        <v/>
      </c>
      <c r="B42" s="37" t="inlineStr">
        <is>
          <t>API-041</t>
        </is>
      </c>
      <c r="C42" s="38" t="inlineStr">
        <is>
          <t>API</t>
        </is>
      </c>
      <c r="D42" s="38" t="inlineStr">
        <is>
          <t>③ 하드스킬 검출</t>
        </is>
      </c>
      <c r="E42" s="37" t="inlineStr">
        <is>
          <t>P2</t>
        </is>
      </c>
      <c r="F42" s="38" t="inlineStr">
        <is>
          <t>결과지 매핑</t>
        </is>
      </c>
      <c r="G42" s="38" t="inlineStr">
        <is>
          <t>COMMON/EXTRACT-EVIDENCE(공방 hardskill-extract-evidence-test, 폴백 EVALUATE) 가용 · 1단계 하드스킬+검출기준 확보</t>
        </is>
      </c>
      <c r="H42" s="38" t="inlineStr">
        <is>
          <t>hard_skills.항목 변환 확인</t>
        </is>
      </c>
      <c r="I42" s="38" t="inlineStr">
        <is>
          <t>정상 result</t>
        </is>
      </c>
      <c r="J42" s="38" t="inlineStr">
        <is>
          <t>result[]→hard_skills.항목[]{name·status·summary·evidence_ids·score} 매핑</t>
        </is>
      </c>
      <c r="K42" s="37" t="inlineStr"/>
      <c r="L42" s="38" t="inlineStr"/>
      <c r="M42" s="38" t="inlineStr"/>
      <c r="N42" s="38" t="inlineStr"/>
      <c r="O42" s="37" t="inlineStr"/>
      <c r="P42" s="37" t="inlineStr"/>
      <c r="Q42" s="37" t="inlineStr"/>
      <c r="R42" s="38" t="inlineStr"/>
      <c r="S42" s="37" t="inlineStr">
        <is>
          <t>공통</t>
        </is>
      </c>
      <c r="T42" s="37" t="inlineStr">
        <is>
          <t>작업자1</t>
        </is>
      </c>
    </row>
    <row r="43">
      <c r="A43" s="39">
        <f>IFERROR(INDEX('시나리오'!$G$5:$G$11,MATCH($T43,'시나리오'!$L$5:$L$11,0)),$T43)</f>
        <v/>
      </c>
      <c r="B43" s="39" t="inlineStr">
        <is>
          <t>API-042</t>
        </is>
      </c>
      <c r="C43" s="40" t="inlineStr">
        <is>
          <t>API</t>
        </is>
      </c>
      <c r="D43" s="40" t="inlineStr">
        <is>
          <t>③ 하드스킬 검출</t>
        </is>
      </c>
      <c r="E43" s="39" t="inlineStr">
        <is>
          <t>P3</t>
        </is>
      </c>
      <c r="F43" s="40" t="inlineStr">
        <is>
          <t>폴백 동작</t>
        </is>
      </c>
      <c r="G43" s="40" t="inlineStr">
        <is>
          <t>COMMON/EXTRACT-EVIDENCE(공방 hardskill-extract-evidence-test, 폴백 EVALUATE) 가용 · 1단계 하드스킬+검출기준 확보</t>
        </is>
      </c>
      <c r="H43" s="40" t="inlineStr">
        <is>
          <t>폴백 경로 확인</t>
        </is>
      </c>
      <c r="I43" s="40" t="inlineStr">
        <is>
          <t>EXTRACT-EVIDENCE 미가용</t>
        </is>
      </c>
      <c r="J43" s="40" t="inlineStr">
        <is>
          <t>미가용 시 EVALUATE-CUSTOM-FACTOR(grade·reasonSegment)로 폴백 동작</t>
        </is>
      </c>
      <c r="K43" s="39" t="inlineStr"/>
      <c r="L43" s="40" t="inlineStr"/>
      <c r="M43" s="40" t="inlineStr"/>
      <c r="N43" s="40" t="inlineStr"/>
      <c r="O43" s="39" t="inlineStr"/>
      <c r="P43" s="39" t="inlineStr"/>
      <c r="Q43" s="39" t="inlineStr"/>
      <c r="R43" s="40" t="inlineStr"/>
      <c r="S43" s="39" t="inlineStr">
        <is>
          <t>공통</t>
        </is>
      </c>
      <c r="T43" s="39" t="inlineStr">
        <is>
          <t>작업자2</t>
        </is>
      </c>
    </row>
  </sheetData>
  <autoFilter ref="A1:T1"/>
  <conditionalFormatting sqref="K2:K43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3">
      <formula>"Blocked"</formula>
    </cfRule>
  </conditionalFormatting>
  <conditionalFormatting sqref="P2:P43">
    <cfRule type="cellIs" priority="4" operator="equal" dxfId="0">
      <formula>"수정완료"</formula>
    </cfRule>
  </conditionalFormatting>
  <conditionalFormatting sqref="E2:E43">
    <cfRule type="cellIs" priority="5" operator="equal" dxfId="4">
      <formula>"P1"</formula>
    </cfRule>
  </conditionalFormatting>
  <conditionalFormatting sqref="S2:S43">
    <cfRule type="cellIs" priority="6" operator="equal" dxfId="5">
      <formula>"시나리오"</formula>
    </cfRule>
  </conditionalFormatting>
  <dataValidations count="5">
    <dataValidation sqref="K2:K43" showDropDown="0" showInputMessage="0" showErrorMessage="0" allowBlank="1" type="list">
      <formula1>"Pass,Fail,N/A,Blocked"</formula1>
    </dataValidation>
    <dataValidation sqref="E2:E43" showDropDown="0" showInputMessage="0" showErrorMessage="0" allowBlank="1" type="list">
      <formula1>"P1,P2,P3"</formula1>
    </dataValidation>
    <dataValidation sqref="O2:O43" showDropDown="0" showInputMessage="0" showErrorMessage="0" allowBlank="1" type="list">
      <formula1>"치명,중,경"</formula1>
    </dataValidation>
    <dataValidation sqref="P2:P43" showDropDown="0" showInputMessage="0" showErrorMessage="0" allowBlank="1" type="list">
      <formula1>"미착수,수정중,수정완료,보류"</formula1>
    </dataValidation>
    <dataValidation sqref="Q2:Q43" showDropDown="0" showInputMessage="0" showErrorMessage="0" allowBlank="1" type="list">
      <formula1>"재확인대기,재확인통과,재오픈"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7" customWidth="1" min="5" max="5"/>
    <col width="30" customWidth="1" min="6" max="6"/>
    <col width="22" customWidth="1" min="7" max="7"/>
    <col width="30" customWidth="1" min="8" max="8"/>
    <col width="18" customWidth="1" min="9" max="9"/>
    <col width="40" customWidth="1" min="10" max="10"/>
    <col width="9" customWidth="1" min="11" max="11"/>
    <col width="11" customWidth="1" min="12" max="12"/>
    <col width="10" customWidth="1" min="13" max="13"/>
    <col width="28" customWidth="1" min="14" max="14"/>
    <col width="9" customWidth="1" min="15" max="15"/>
    <col width="13" customWidth="1" min="16" max="16"/>
    <col width="12" customWidth="1" min="17" max="17"/>
    <col width="16" customWidth="1" min="18" max="18"/>
    <col width="10" customWidth="1" min="19" max="19"/>
    <col width="9" customWidth="1" min="20" max="20"/>
  </cols>
  <sheetData>
    <row r="1" ht="30" customHeight="1">
      <c r="A1" s="33" t="inlineStr">
        <is>
          <t>담당</t>
        </is>
      </c>
      <c r="B1" s="33" t="inlineStr">
        <is>
          <t>TC ID</t>
        </is>
      </c>
      <c r="C1" s="33" t="inlineStr">
        <is>
          <t>대분류</t>
        </is>
      </c>
      <c r="D1" s="33" t="inlineStr">
        <is>
          <t>중분류</t>
        </is>
      </c>
      <c r="E1" s="33" t="inlineStr">
        <is>
          <t>우선
순위</t>
        </is>
      </c>
      <c r="F1" s="33" t="inlineStr">
        <is>
          <t>테스트 시나리오(케이스명)</t>
        </is>
      </c>
      <c r="G1" s="33" t="inlineStr">
        <is>
          <t>사전조건</t>
        </is>
      </c>
      <c r="H1" s="33" t="inlineStr">
        <is>
          <t>테스트 절차</t>
        </is>
      </c>
      <c r="I1" s="33" t="inlineStr">
        <is>
          <t>입력/조건</t>
        </is>
      </c>
      <c r="J1" s="33" t="inlineStr">
        <is>
          <t>기대결과</t>
        </is>
      </c>
      <c r="K1" s="34" t="inlineStr">
        <is>
          <t>QC결과</t>
        </is>
      </c>
      <c r="L1" s="34" t="inlineStr">
        <is>
          <t>실행일</t>
        </is>
      </c>
      <c r="M1" s="34" t="inlineStr">
        <is>
          <t>QC담당자</t>
        </is>
      </c>
      <c r="N1" s="35" t="inlineStr">
        <is>
          <t>결함 내용</t>
        </is>
      </c>
      <c r="O1" s="35" t="inlineStr">
        <is>
          <t>심각도</t>
        </is>
      </c>
      <c r="P1" s="35" t="inlineStr">
        <is>
          <t>개발 수정상태</t>
        </is>
      </c>
      <c r="Q1" s="35" t="inlineStr">
        <is>
          <t>재확인(QC)</t>
        </is>
      </c>
      <c r="R1" s="36" t="inlineStr">
        <is>
          <t>비고</t>
        </is>
      </c>
      <c r="S1" s="36" t="inlineStr">
        <is>
          <t>구분</t>
        </is>
      </c>
      <c r="T1" s="36" t="inlineStr">
        <is>
          <t>키(작업자)</t>
        </is>
      </c>
    </row>
    <row r="2">
      <c r="A2" s="37">
        <f>IFERROR(INDEX('시나리오'!$G$5:$G$11,MATCH($T2,'시나리오'!$L$5:$L$11,0)),$T2)</f>
        <v/>
      </c>
      <c r="B2" s="37" t="inlineStr">
        <is>
          <t>ADM-001</t>
        </is>
      </c>
      <c r="C2" s="38" t="inlineStr">
        <is>
          <t>어드민</t>
        </is>
      </c>
      <c r="D2" s="38" t="inlineStr">
        <is>
          <t>검사요청서</t>
        </is>
      </c>
      <c r="E2" s="37" t="inlineStr">
        <is>
          <t>P1</t>
        </is>
      </c>
      <c r="F2" s="38" t="inlineStr">
        <is>
          <t>벌크형/단건형 전환</t>
        </is>
      </c>
      <c r="G2" s="38" t="inlineStr">
        <is>
          <t>검사요청서 화면 진입</t>
        </is>
      </c>
      <c r="H2" s="38" t="inlineStr">
        <is>
          <t>벌크형↔단건형 토글</t>
        </is>
      </c>
      <c r="I2" s="38" t="inlineStr">
        <is>
          <t>-</t>
        </is>
      </c>
      <c r="J2" s="38" t="inlineStr">
        <is>
          <t>선택에 따라 입력 폼이 전환되고 이전 입력이 유실되지 않음</t>
        </is>
      </c>
      <c r="K2" s="37" t="inlineStr"/>
      <c r="L2" s="38" t="inlineStr"/>
      <c r="M2" s="38" t="inlineStr"/>
      <c r="N2" s="38" t="inlineStr"/>
      <c r="O2" s="37" t="inlineStr"/>
      <c r="P2" s="37" t="inlineStr"/>
      <c r="Q2" s="37" t="inlineStr"/>
      <c r="R2" s="38" t="inlineStr">
        <is>
          <t>화면정의서 기준 확정 필요</t>
        </is>
      </c>
      <c r="S2" s="37" t="inlineStr">
        <is>
          <t>공통</t>
        </is>
      </c>
      <c r="T2" s="37" t="inlineStr">
        <is>
          <t>작업자3</t>
        </is>
      </c>
    </row>
    <row r="3">
      <c r="A3" s="39">
        <f>IFERROR(INDEX('시나리오'!$G$5:$G$11,MATCH($T3,'시나리오'!$L$5:$L$11,0)),$T3)</f>
        <v/>
      </c>
      <c r="B3" s="39" t="inlineStr">
        <is>
          <t>ADM-002</t>
        </is>
      </c>
      <c r="C3" s="40" t="inlineStr">
        <is>
          <t>어드민</t>
        </is>
      </c>
      <c r="D3" s="40" t="inlineStr">
        <is>
          <t>검사요청서</t>
        </is>
      </c>
      <c r="E3" s="39" t="inlineStr">
        <is>
          <t>P2</t>
        </is>
      </c>
      <c r="F3" s="40" t="inlineStr">
        <is>
          <t>파일 추가/삭제</t>
        </is>
      </c>
      <c r="G3" s="40" t="inlineStr">
        <is>
          <t>화면 진입</t>
        </is>
      </c>
      <c r="H3" s="40" t="inlineStr">
        <is>
          <t>파일 추가 후 목록 확인, 삭제</t>
        </is>
      </c>
      <c r="I3" s="40" t="inlineStr">
        <is>
          <t>테스트 파일</t>
        </is>
      </c>
      <c r="J3" s="40" t="inlineStr">
        <is>
          <t>파일명·파일크기 표시, 삭제 시 목록에서 제거</t>
        </is>
      </c>
      <c r="K3" s="39" t="inlineStr"/>
      <c r="L3" s="40" t="inlineStr"/>
      <c r="M3" s="40" t="inlineStr"/>
      <c r="N3" s="40" t="inlineStr"/>
      <c r="O3" s="39" t="inlineStr"/>
      <c r="P3" s="39" t="inlineStr"/>
      <c r="Q3" s="39" t="inlineStr"/>
      <c r="R3" s="40" t="inlineStr">
        <is>
          <t>화면정의서 기준 확정 필요</t>
        </is>
      </c>
      <c r="S3" s="39" t="inlineStr">
        <is>
          <t>공통</t>
        </is>
      </c>
      <c r="T3" s="39" t="inlineStr">
        <is>
          <t>작업자4</t>
        </is>
      </c>
    </row>
    <row r="4">
      <c r="A4" s="37">
        <f>IFERROR(INDEX('시나리오'!$G$5:$G$11,MATCH($T4,'시나리오'!$L$5:$L$11,0)),$T4)</f>
        <v/>
      </c>
      <c r="B4" s="37" t="inlineStr">
        <is>
          <t>ADM-003</t>
        </is>
      </c>
      <c r="C4" s="38" t="inlineStr">
        <is>
          <t>어드민</t>
        </is>
      </c>
      <c r="D4" s="38" t="inlineStr">
        <is>
          <t>검사요청서</t>
        </is>
      </c>
      <c r="E4" s="37" t="inlineStr">
        <is>
          <t>P2</t>
        </is>
      </c>
      <c r="F4" s="38" t="inlineStr">
        <is>
          <t>최근 검사요청서 불러오기</t>
        </is>
      </c>
      <c r="G4" s="38" t="inlineStr">
        <is>
          <t>이전 요청 이력 존재</t>
        </is>
      </c>
      <c r="H4" s="38" t="inlineStr">
        <is>
          <t>불러오기 실행</t>
        </is>
      </c>
      <c r="I4" s="38" t="inlineStr">
        <is>
          <t>-</t>
        </is>
      </c>
      <c r="J4" s="38" t="inlineStr">
        <is>
          <t>이전 검사요청서 내용이 폼에 채워짐</t>
        </is>
      </c>
      <c r="K4" s="37" t="inlineStr"/>
      <c r="L4" s="38" t="inlineStr"/>
      <c r="M4" s="38" t="inlineStr"/>
      <c r="N4" s="38" t="inlineStr"/>
      <c r="O4" s="37" t="inlineStr"/>
      <c r="P4" s="37" t="inlineStr"/>
      <c r="Q4" s="37" t="inlineStr"/>
      <c r="R4" s="38" t="inlineStr">
        <is>
          <t>화면정의서 기준 확정 필요</t>
        </is>
      </c>
      <c r="S4" s="37" t="inlineStr">
        <is>
          <t>공통</t>
        </is>
      </c>
      <c r="T4" s="37" t="inlineStr">
        <is>
          <t>작업자5</t>
        </is>
      </c>
    </row>
    <row r="5">
      <c r="A5" s="39">
        <f>IFERROR(INDEX('시나리오'!$G$5:$G$11,MATCH($T5,'시나리오'!$L$5:$L$11,0)),$T5)</f>
        <v/>
      </c>
      <c r="B5" s="39" t="inlineStr">
        <is>
          <t>ADM-004</t>
        </is>
      </c>
      <c r="C5" s="40" t="inlineStr">
        <is>
          <t>어드민</t>
        </is>
      </c>
      <c r="D5" s="40" t="inlineStr">
        <is>
          <t>검사요청서</t>
        </is>
      </c>
      <c r="E5" s="39" t="inlineStr">
        <is>
          <t>P2</t>
        </is>
      </c>
      <c r="F5" s="40" t="inlineStr">
        <is>
          <t>임시저장</t>
        </is>
      </c>
      <c r="G5" s="40" t="inlineStr">
        <is>
          <t>입력 일부 작성</t>
        </is>
      </c>
      <c r="H5" s="40" t="inlineStr">
        <is>
          <t>임시저장 클릭</t>
        </is>
      </c>
      <c r="I5" s="40" t="inlineStr">
        <is>
          <t>부분 입력</t>
        </is>
      </c>
      <c r="J5" s="40" t="inlineStr">
        <is>
          <t>입력 내용 저장, 재진입 시 복원</t>
        </is>
      </c>
      <c r="K5" s="39" t="inlineStr"/>
      <c r="L5" s="40" t="inlineStr"/>
      <c r="M5" s="40" t="inlineStr"/>
      <c r="N5" s="40" t="inlineStr"/>
      <c r="O5" s="39" t="inlineStr"/>
      <c r="P5" s="39" t="inlineStr"/>
      <c r="Q5" s="39" t="inlineStr"/>
      <c r="R5" s="40" t="inlineStr">
        <is>
          <t>화면정의서 기준 확정 필요</t>
        </is>
      </c>
      <c r="S5" s="39" t="inlineStr">
        <is>
          <t>공통</t>
        </is>
      </c>
      <c r="T5" s="39" t="inlineStr">
        <is>
          <t>작업자6</t>
        </is>
      </c>
    </row>
    <row r="6">
      <c r="A6" s="37">
        <f>IFERROR(INDEX('시나리오'!$G$5:$G$11,MATCH($T6,'시나리오'!$L$5:$L$11,0)),$T6)</f>
        <v/>
      </c>
      <c r="B6" s="37" t="inlineStr">
        <is>
          <t>ADM-005</t>
        </is>
      </c>
      <c r="C6" s="38" t="inlineStr">
        <is>
          <t>어드민</t>
        </is>
      </c>
      <c r="D6" s="38" t="inlineStr">
        <is>
          <t>검사요청서</t>
        </is>
      </c>
      <c r="E6" s="37" t="inlineStr">
        <is>
          <t>P1</t>
        </is>
      </c>
      <c r="F6" s="38" t="inlineStr">
        <is>
          <t>검사요청 제출(필수값 검증)</t>
        </is>
      </c>
      <c r="G6" s="38" t="inlineStr">
        <is>
          <t>필수 항목 미입력</t>
        </is>
      </c>
      <c r="H6" s="38" t="inlineStr">
        <is>
          <t>검사요청 클릭</t>
        </is>
      </c>
      <c r="I6" s="38" t="inlineStr">
        <is>
          <t>필수값 누락</t>
        </is>
      </c>
      <c r="J6" s="38" t="inlineStr">
        <is>
          <t>필수값 누락 시 제출 차단·안내, 충족 시 정상 접수</t>
        </is>
      </c>
      <c r="K6" s="37" t="inlineStr"/>
      <c r="L6" s="38" t="inlineStr"/>
      <c r="M6" s="38" t="inlineStr"/>
      <c r="N6" s="38" t="inlineStr"/>
      <c r="O6" s="37" t="inlineStr"/>
      <c r="P6" s="37" t="inlineStr"/>
      <c r="Q6" s="37" t="inlineStr"/>
      <c r="R6" s="38" t="inlineStr">
        <is>
          <t>화면정의서 기준 확정 필요</t>
        </is>
      </c>
      <c r="S6" s="37" t="inlineStr">
        <is>
          <t>공통</t>
        </is>
      </c>
      <c r="T6" s="37" t="inlineStr">
        <is>
          <t>작업자7</t>
        </is>
      </c>
    </row>
    <row r="7">
      <c r="A7" s="39">
        <f>IFERROR(INDEX('시나리오'!$G$5:$G$11,MATCH($T7,'시나리오'!$L$5:$L$11,0)),$T7)</f>
        <v/>
      </c>
      <c r="B7" s="39" t="inlineStr">
        <is>
          <t>ADM-006</t>
        </is>
      </c>
      <c r="C7" s="40" t="inlineStr">
        <is>
          <t>어드민</t>
        </is>
      </c>
      <c r="D7" s="40" t="inlineStr">
        <is>
          <t>검사요청서</t>
        </is>
      </c>
      <c r="E7" s="39" t="inlineStr">
        <is>
          <t>P3</t>
        </is>
      </c>
      <c r="F7" s="40" t="inlineStr">
        <is>
          <t>나가기(미저장 경고)</t>
        </is>
      </c>
      <c r="G7" s="40" t="inlineStr">
        <is>
          <t>미저장 변경 존재</t>
        </is>
      </c>
      <c r="H7" s="40" t="inlineStr">
        <is>
          <t>나가기 클릭</t>
        </is>
      </c>
      <c r="I7" s="40" t="inlineStr">
        <is>
          <t>-</t>
        </is>
      </c>
      <c r="J7" s="40" t="inlineStr">
        <is>
          <t>미저장 변경 시 경고 노출</t>
        </is>
      </c>
      <c r="K7" s="39" t="inlineStr"/>
      <c r="L7" s="40" t="inlineStr"/>
      <c r="M7" s="40" t="inlineStr"/>
      <c r="N7" s="40" t="inlineStr"/>
      <c r="O7" s="39" t="inlineStr"/>
      <c r="P7" s="39" t="inlineStr"/>
      <c r="Q7" s="39" t="inlineStr"/>
      <c r="R7" s="40" t="inlineStr">
        <is>
          <t>화면정의서 기준 확정 필요</t>
        </is>
      </c>
      <c r="S7" s="39" t="inlineStr">
        <is>
          <t>공통</t>
        </is>
      </c>
      <c r="T7" s="39" t="inlineStr">
        <is>
          <t>작업자1</t>
        </is>
      </c>
    </row>
    <row r="8">
      <c r="A8" s="37">
        <f>IFERROR(INDEX('시나리오'!$G$5:$G$11,MATCH($T8,'시나리오'!$L$5:$L$11,0)),$T8)</f>
        <v/>
      </c>
      <c r="B8" s="37" t="inlineStr">
        <is>
          <t>ADM-007</t>
        </is>
      </c>
      <c r="C8" s="38" t="inlineStr">
        <is>
          <t>어드민</t>
        </is>
      </c>
      <c r="D8" s="38" t="inlineStr">
        <is>
          <t>자료 생성</t>
        </is>
      </c>
      <c r="E8" s="37" t="inlineStr">
        <is>
          <t>P2</t>
        </is>
      </c>
      <c r="F8" s="38" t="inlineStr">
        <is>
          <t>자료생성 모달 오픈</t>
        </is>
      </c>
      <c r="G8" s="38" t="inlineStr">
        <is>
          <t>검사 요청 존재</t>
        </is>
      </c>
      <c r="H8" s="38" t="inlineStr">
        <is>
          <t>서류결과 자료생성 클릭</t>
        </is>
      </c>
      <c r="I8" s="38" t="inlineStr">
        <is>
          <t>-</t>
        </is>
      </c>
      <c r="J8" s="38" t="inlineStr">
        <is>
          <t>자료 생성 등록 모달이 열림</t>
        </is>
      </c>
      <c r="K8" s="37" t="inlineStr"/>
      <c r="L8" s="38" t="inlineStr"/>
      <c r="M8" s="38" t="inlineStr"/>
      <c r="N8" s="38" t="inlineStr"/>
      <c r="O8" s="37" t="inlineStr"/>
      <c r="P8" s="37" t="inlineStr"/>
      <c r="Q8" s="37" t="inlineStr"/>
      <c r="R8" s="38" t="inlineStr">
        <is>
          <t>화면정의서 기준 확정 필요</t>
        </is>
      </c>
      <c r="S8" s="37" t="inlineStr">
        <is>
          <t>공통</t>
        </is>
      </c>
      <c r="T8" s="37" t="inlineStr">
        <is>
          <t>작업자2</t>
        </is>
      </c>
    </row>
    <row r="9">
      <c r="A9" s="39">
        <f>IFERROR(INDEX('시나리오'!$G$5:$G$11,MATCH($T9,'시나리오'!$L$5:$L$11,0)),$T9)</f>
        <v/>
      </c>
      <c r="B9" s="39" t="inlineStr">
        <is>
          <t>ADM-008</t>
        </is>
      </c>
      <c r="C9" s="40" t="inlineStr">
        <is>
          <t>어드민</t>
        </is>
      </c>
      <c r="D9" s="40" t="inlineStr">
        <is>
          <t>자료 생성</t>
        </is>
      </c>
      <c r="E9" s="39" t="inlineStr">
        <is>
          <t>P2</t>
        </is>
      </c>
      <c r="F9" s="40" t="inlineStr">
        <is>
          <t>파일 업로드</t>
        </is>
      </c>
      <c r="G9" s="40" t="inlineStr">
        <is>
          <t>모달 오픈</t>
        </is>
      </c>
      <c r="H9" s="40" t="inlineStr">
        <is>
          <t>파일 업로드</t>
        </is>
      </c>
      <c r="I9" s="40" t="inlineStr">
        <is>
          <t>결과 파일</t>
        </is>
      </c>
      <c r="J9" s="40" t="inlineStr">
        <is>
          <t>파일명 표시, 업로드 반영</t>
        </is>
      </c>
      <c r="K9" s="39" t="inlineStr"/>
      <c r="L9" s="40" t="inlineStr"/>
      <c r="M9" s="40" t="inlineStr"/>
      <c r="N9" s="40" t="inlineStr"/>
      <c r="O9" s="39" t="inlineStr"/>
      <c r="P9" s="39" t="inlineStr"/>
      <c r="Q9" s="39" t="inlineStr"/>
      <c r="R9" s="40" t="inlineStr">
        <is>
          <t>화면정의서 기준 확정 필요</t>
        </is>
      </c>
      <c r="S9" s="39" t="inlineStr">
        <is>
          <t>공통</t>
        </is>
      </c>
      <c r="T9" s="39" t="inlineStr">
        <is>
          <t>작업자3</t>
        </is>
      </c>
    </row>
    <row r="10">
      <c r="A10" s="37">
        <f>IFERROR(INDEX('시나리오'!$G$5:$G$11,MATCH($T10,'시나리오'!$L$5:$L$11,0)),$T10)</f>
        <v/>
      </c>
      <c r="B10" s="37" t="inlineStr">
        <is>
          <t>ADM-009</t>
        </is>
      </c>
      <c r="C10" s="38" t="inlineStr">
        <is>
          <t>어드민</t>
        </is>
      </c>
      <c r="D10" s="38" t="inlineStr">
        <is>
          <t>자료 생성</t>
        </is>
      </c>
      <c r="E10" s="37" t="inlineStr">
        <is>
          <t>P2</t>
        </is>
      </c>
      <c r="F10" s="38" t="inlineStr">
        <is>
          <t>멀티스텝 이전/다음</t>
        </is>
      </c>
      <c r="G10" s="38" t="inlineStr">
        <is>
          <t>모달 오픈</t>
        </is>
      </c>
      <c r="H10" s="38" t="inlineStr">
        <is>
          <t>이전/다음 단계 이동</t>
        </is>
      </c>
      <c r="I10" s="38" t="inlineStr">
        <is>
          <t>-</t>
        </is>
      </c>
      <c r="J10" s="38" t="inlineStr">
        <is>
          <t>단계 이동 시 입력 유지, 자료생성등록 완료</t>
        </is>
      </c>
      <c r="K10" s="37" t="inlineStr"/>
      <c r="L10" s="38" t="inlineStr"/>
      <c r="M10" s="38" t="inlineStr"/>
      <c r="N10" s="38" t="inlineStr"/>
      <c r="O10" s="37" t="inlineStr"/>
      <c r="P10" s="37" t="inlineStr"/>
      <c r="Q10" s="37" t="inlineStr"/>
      <c r="R10" s="38" t="inlineStr">
        <is>
          <t>화면정의서 기준 확정 필요</t>
        </is>
      </c>
      <c r="S10" s="37" t="inlineStr">
        <is>
          <t>공통</t>
        </is>
      </c>
      <c r="T10" s="37" t="inlineStr">
        <is>
          <t>작업자4</t>
        </is>
      </c>
    </row>
    <row r="11">
      <c r="A11" s="39">
        <f>IFERROR(INDEX('시나리오'!$G$5:$G$11,MATCH($T11,'시나리오'!$L$5:$L$11,0)),$T11)</f>
        <v/>
      </c>
      <c r="B11" s="39" t="inlineStr">
        <is>
          <t>ADM-010</t>
        </is>
      </c>
      <c r="C11" s="40" t="inlineStr">
        <is>
          <t>어드민</t>
        </is>
      </c>
      <c r="D11" s="40" t="inlineStr">
        <is>
          <t>자료 생성</t>
        </is>
      </c>
      <c r="E11" s="39" t="inlineStr">
        <is>
          <t>P3</t>
        </is>
      </c>
      <c r="F11" s="40" t="inlineStr">
        <is>
          <t>닫기</t>
        </is>
      </c>
      <c r="G11" s="40" t="inlineStr">
        <is>
          <t>모달 오픈</t>
        </is>
      </c>
      <c r="H11" s="40" t="inlineStr">
        <is>
          <t>닫기/× 클릭</t>
        </is>
      </c>
      <c r="I11" s="40" t="inlineStr">
        <is>
          <t>-</t>
        </is>
      </c>
      <c r="J11" s="40" t="inlineStr">
        <is>
          <t>모달 닫힘</t>
        </is>
      </c>
      <c r="K11" s="39" t="inlineStr"/>
      <c r="L11" s="40" t="inlineStr"/>
      <c r="M11" s="40" t="inlineStr"/>
      <c r="N11" s="40" t="inlineStr"/>
      <c r="O11" s="39" t="inlineStr"/>
      <c r="P11" s="39" t="inlineStr"/>
      <c r="Q11" s="39" t="inlineStr"/>
      <c r="R11" s="40" t="inlineStr">
        <is>
          <t>화면정의서 기준 확정 필요</t>
        </is>
      </c>
      <c r="S11" s="39" t="inlineStr">
        <is>
          <t>공통</t>
        </is>
      </c>
      <c r="T11" s="39" t="inlineStr">
        <is>
          <t>작업자5</t>
        </is>
      </c>
    </row>
    <row r="12">
      <c r="A12" s="37">
        <f>IFERROR(INDEX('시나리오'!$G$5:$G$11,MATCH($T12,'시나리오'!$L$5:$L$11,0)),$T12)</f>
        <v/>
      </c>
      <c r="B12" s="37" t="inlineStr">
        <is>
          <t>ADM-011</t>
        </is>
      </c>
      <c r="C12" s="38" t="inlineStr">
        <is>
          <t>어드민</t>
        </is>
      </c>
      <c r="D12" s="38" t="inlineStr">
        <is>
          <t>근거요약 QC</t>
        </is>
      </c>
      <c r="E12" s="37" t="inlineStr">
        <is>
          <t>P1</t>
        </is>
      </c>
      <c r="F12" s="38" t="inlineStr">
        <is>
          <t>결함검사·항목 표시</t>
        </is>
      </c>
      <c r="G12" s="38" t="inlineStr">
        <is>
          <t>근거요약관리 모달 진입</t>
        </is>
      </c>
      <c r="H12" s="38" t="inlineStr">
        <is>
          <t>항목 확인</t>
        </is>
      </c>
      <c r="I12" s="38" t="inlineStr">
        <is>
          <t>-</t>
        </is>
      </c>
      <c r="J12" s="38" t="inlineStr">
        <is>
          <t>메트릭별 결함검사·등급·근거문장이 표시됨</t>
        </is>
      </c>
      <c r="K12" s="37" t="inlineStr"/>
      <c r="L12" s="38" t="inlineStr"/>
      <c r="M12" s="38" t="inlineStr"/>
      <c r="N12" s="38" t="inlineStr"/>
      <c r="O12" s="37" t="inlineStr"/>
      <c r="P12" s="37" t="inlineStr"/>
      <c r="Q12" s="37" t="inlineStr"/>
      <c r="R12" s="38" t="inlineStr">
        <is>
          <t>화면정의서 기준 확정 필요</t>
        </is>
      </c>
      <c r="S12" s="37" t="inlineStr">
        <is>
          <t>공통</t>
        </is>
      </c>
      <c r="T12" s="37" t="inlineStr">
        <is>
          <t>작업자6</t>
        </is>
      </c>
    </row>
    <row r="13">
      <c r="A13" s="39">
        <f>IFERROR(INDEX('시나리오'!$G$5:$G$11,MATCH($T13,'시나리오'!$L$5:$L$11,0)),$T13)</f>
        <v/>
      </c>
      <c r="B13" s="39" t="inlineStr">
        <is>
          <t>ADM-012</t>
        </is>
      </c>
      <c r="C13" s="40" t="inlineStr">
        <is>
          <t>어드민</t>
        </is>
      </c>
      <c r="D13" s="40" t="inlineStr">
        <is>
          <t>근거요약 QC</t>
        </is>
      </c>
      <c r="E13" s="39" t="inlineStr">
        <is>
          <t>P1</t>
        </is>
      </c>
      <c r="F13" s="40" t="inlineStr">
        <is>
          <t>재생성</t>
        </is>
      </c>
      <c r="G13" s="40" t="inlineStr">
        <is>
          <t>항목 표시</t>
        </is>
      </c>
      <c r="H13" s="40" t="inlineStr">
        <is>
          <t>메트릭 재생성 클릭</t>
        </is>
      </c>
      <c r="I13" s="40" t="inlineStr">
        <is>
          <t>-</t>
        </is>
      </c>
      <c r="J13" s="40" t="inlineStr">
        <is>
          <t>해당 메트릭 코멘트/근거가 재생성되어 갱신</t>
        </is>
      </c>
      <c r="K13" s="39" t="inlineStr"/>
      <c r="L13" s="40" t="inlineStr"/>
      <c r="M13" s="40" t="inlineStr"/>
      <c r="N13" s="40" t="inlineStr"/>
      <c r="O13" s="39" t="inlineStr"/>
      <c r="P13" s="39" t="inlineStr"/>
      <c r="Q13" s="39" t="inlineStr"/>
      <c r="R13" s="40" t="inlineStr">
        <is>
          <t>화면정의서 기준 확정 필요</t>
        </is>
      </c>
      <c r="S13" s="39" t="inlineStr">
        <is>
          <t>공통</t>
        </is>
      </c>
      <c r="T13" s="39" t="inlineStr">
        <is>
          <t>작업자7</t>
        </is>
      </c>
    </row>
    <row r="14">
      <c r="A14" s="37">
        <f>IFERROR(INDEX('시나리오'!$G$5:$G$11,MATCH($T14,'시나리오'!$L$5:$L$11,0)),$T14)</f>
        <v/>
      </c>
      <c r="B14" s="37" t="inlineStr">
        <is>
          <t>ADM-013</t>
        </is>
      </c>
      <c r="C14" s="38" t="inlineStr">
        <is>
          <t>어드민</t>
        </is>
      </c>
      <c r="D14" s="38" t="inlineStr">
        <is>
          <t>근거요약 QC</t>
        </is>
      </c>
      <c r="E14" s="37" t="inlineStr">
        <is>
          <t>P1</t>
        </is>
      </c>
      <c r="F14" s="38" t="inlineStr">
        <is>
          <t>등급 저장</t>
        </is>
      </c>
      <c r="G14" s="38" t="inlineStr">
        <is>
          <t>등급 수정</t>
        </is>
      </c>
      <c r="H14" s="38" t="inlineStr">
        <is>
          <t>등급 저장 클릭</t>
        </is>
      </c>
      <c r="I14" s="38" t="inlineStr">
        <is>
          <t>수정 등급</t>
        </is>
      </c>
      <c r="J14" s="38" t="inlineStr">
        <is>
          <t>변경 등급이 저장·반영</t>
        </is>
      </c>
      <c r="K14" s="37" t="inlineStr"/>
      <c r="L14" s="38" t="inlineStr"/>
      <c r="M14" s="38" t="inlineStr"/>
      <c r="N14" s="38" t="inlineStr"/>
      <c r="O14" s="37" t="inlineStr"/>
      <c r="P14" s="37" t="inlineStr"/>
      <c r="Q14" s="37" t="inlineStr"/>
      <c r="R14" s="38" t="inlineStr">
        <is>
          <t>화면정의서 기준 확정 필요</t>
        </is>
      </c>
      <c r="S14" s="37" t="inlineStr">
        <is>
          <t>공통</t>
        </is>
      </c>
      <c r="T14" s="37" t="inlineStr">
        <is>
          <t>작업자1</t>
        </is>
      </c>
    </row>
    <row r="15">
      <c r="A15" s="39">
        <f>IFERROR(INDEX('시나리오'!$G$5:$G$11,MATCH($T15,'시나리오'!$L$5:$L$11,0)),$T15)</f>
        <v/>
      </c>
      <c r="B15" s="39" t="inlineStr">
        <is>
          <t>ADM-014</t>
        </is>
      </c>
      <c r="C15" s="40" t="inlineStr">
        <is>
          <t>어드민</t>
        </is>
      </c>
      <c r="D15" s="40" t="inlineStr">
        <is>
          <t>근거요약 QC</t>
        </is>
      </c>
      <c r="E15" s="39" t="inlineStr">
        <is>
          <t>P2</t>
        </is>
      </c>
      <c r="F15" s="40" t="inlineStr">
        <is>
          <t>하이라이트 보기/제거</t>
        </is>
      </c>
      <c r="G15" s="40" t="inlineStr">
        <is>
          <t>근거문장 표시</t>
        </is>
      </c>
      <c r="H15" s="40" t="inlineStr">
        <is>
          <t>하이라이트 토글</t>
        </is>
      </c>
      <c r="I15" s="40" t="inlineStr">
        <is>
          <t>-</t>
        </is>
      </c>
      <c r="J15" s="40" t="inlineStr">
        <is>
          <t>근거문장 하이라이트가 표시/제거됨</t>
        </is>
      </c>
      <c r="K15" s="39" t="inlineStr"/>
      <c r="L15" s="40" t="inlineStr"/>
      <c r="M15" s="40" t="inlineStr"/>
      <c r="N15" s="40" t="inlineStr"/>
      <c r="O15" s="39" t="inlineStr"/>
      <c r="P15" s="39" t="inlineStr"/>
      <c r="Q15" s="39" t="inlineStr"/>
      <c r="R15" s="40" t="inlineStr">
        <is>
          <t>화면정의서 기준 확정 필요</t>
        </is>
      </c>
      <c r="S15" s="39" t="inlineStr">
        <is>
          <t>공통</t>
        </is>
      </c>
      <c r="T15" s="39" t="inlineStr">
        <is>
          <t>작업자2</t>
        </is>
      </c>
    </row>
    <row r="16">
      <c r="A16" s="37">
        <f>IFERROR(INDEX('시나리오'!$G$5:$G$11,MATCH($T16,'시나리오'!$L$5:$L$11,0)),$T16)</f>
        <v/>
      </c>
      <c r="B16" s="37" t="inlineStr">
        <is>
          <t>ADM-015</t>
        </is>
      </c>
      <c r="C16" s="38" t="inlineStr">
        <is>
          <t>어드민</t>
        </is>
      </c>
      <c r="D16" s="38" t="inlineStr">
        <is>
          <t>근거요약 QC</t>
        </is>
      </c>
      <c r="E16" s="37" t="inlineStr">
        <is>
          <t>P2</t>
        </is>
      </c>
      <c r="F16" s="38" t="inlineStr">
        <is>
          <t>선택불용등록</t>
        </is>
      </c>
      <c r="G16" s="38" t="inlineStr">
        <is>
          <t>문장 선택</t>
        </is>
      </c>
      <c r="H16" s="38" t="inlineStr">
        <is>
          <t>선택불용등록 클릭</t>
        </is>
      </c>
      <c r="I16" s="38" t="inlineStr">
        <is>
          <t>불용 문장</t>
        </is>
      </c>
      <c r="J16" s="38" t="inlineStr">
        <is>
          <t>선택 문장이 불용 처리되어 근거에서 제외</t>
        </is>
      </c>
      <c r="K16" s="37" t="inlineStr"/>
      <c r="L16" s="38" t="inlineStr"/>
      <c r="M16" s="38" t="inlineStr"/>
      <c r="N16" s="38" t="inlineStr"/>
      <c r="O16" s="37" t="inlineStr"/>
      <c r="P16" s="37" t="inlineStr"/>
      <c r="Q16" s="37" t="inlineStr"/>
      <c r="R16" s="38" t="inlineStr">
        <is>
          <t>화면정의서 기준 확정 필요</t>
        </is>
      </c>
      <c r="S16" s="37" t="inlineStr">
        <is>
          <t>공통</t>
        </is>
      </c>
      <c r="T16" s="37" t="inlineStr">
        <is>
          <t>작업자3</t>
        </is>
      </c>
    </row>
    <row r="17">
      <c r="A17" s="39">
        <f>IFERROR(INDEX('시나리오'!$G$5:$G$11,MATCH($T17,'시나리오'!$L$5:$L$11,0)),$T17)</f>
        <v/>
      </c>
      <c r="B17" s="39" t="inlineStr">
        <is>
          <t>ADM-016</t>
        </is>
      </c>
      <c r="C17" s="40" t="inlineStr">
        <is>
          <t>어드민</t>
        </is>
      </c>
      <c r="D17" s="40" t="inlineStr">
        <is>
          <t>근거요약 QC</t>
        </is>
      </c>
      <c r="E17" s="39" t="inlineStr">
        <is>
          <t>P1</t>
        </is>
      </c>
      <c r="F17" s="40" t="inlineStr">
        <is>
          <t>하드스킬 재매칭</t>
        </is>
      </c>
      <c r="G17" s="40" t="inlineStr">
        <is>
          <t>하드스킬 행 표시</t>
        </is>
      </c>
      <c r="H17" s="40" t="inlineStr">
        <is>
          <t>재매칭/전체 재매칭 클릭</t>
        </is>
      </c>
      <c r="I17" s="40" t="inlineStr">
        <is>
          <t>-</t>
        </is>
      </c>
      <c r="J17" s="40" t="inlineStr">
        <is>
          <t>검출 여부·근거문장이 재매칭되어 갱신</t>
        </is>
      </c>
      <c r="K17" s="39" t="inlineStr"/>
      <c r="L17" s="40" t="inlineStr"/>
      <c r="M17" s="40" t="inlineStr"/>
      <c r="N17" s="40" t="inlineStr"/>
      <c r="O17" s="39" t="inlineStr"/>
      <c r="P17" s="39" t="inlineStr"/>
      <c r="Q17" s="39" t="inlineStr"/>
      <c r="R17" s="40" t="inlineStr">
        <is>
          <t>화면정의서 기준 확정 필요</t>
        </is>
      </c>
      <c r="S17" s="39" t="inlineStr">
        <is>
          <t>공통</t>
        </is>
      </c>
      <c r="T17" s="39" t="inlineStr">
        <is>
          <t>작업자4</t>
        </is>
      </c>
    </row>
    <row r="18">
      <c r="A18" s="37">
        <f>IFERROR(INDEX('시나리오'!$G$5:$G$11,MATCH($T18,'시나리오'!$L$5:$L$11,0)),$T18)</f>
        <v/>
      </c>
      <c r="B18" s="37" t="inlineStr">
        <is>
          <t>ADM-017</t>
        </is>
      </c>
      <c r="C18" s="38" t="inlineStr">
        <is>
          <t>어드민</t>
        </is>
      </c>
      <c r="D18" s="38" t="inlineStr">
        <is>
          <t>근거요약 QC</t>
        </is>
      </c>
      <c r="E18" s="37" t="inlineStr">
        <is>
          <t>P2</t>
        </is>
      </c>
      <c r="F18" s="38" t="inlineStr">
        <is>
          <t>검토(사전)반영·사전보기</t>
        </is>
      </c>
      <c r="G18" s="38" t="inlineStr">
        <is>
          <t>항목 표시</t>
        </is>
      </c>
      <c r="H18" s="38" t="inlineStr">
        <is>
          <t>검토 반영·사전보기 클릭</t>
        </is>
      </c>
      <c r="I18" s="38" t="inlineStr">
        <is>
          <t>-</t>
        </is>
      </c>
      <c r="J18" s="38" t="inlineStr">
        <is>
          <t>사전 검토 내용이 반영/미리보기됨</t>
        </is>
      </c>
      <c r="K18" s="37" t="inlineStr"/>
      <c r="L18" s="38" t="inlineStr"/>
      <c r="M18" s="38" t="inlineStr"/>
      <c r="N18" s="38" t="inlineStr"/>
      <c r="O18" s="37" t="inlineStr"/>
      <c r="P18" s="37" t="inlineStr"/>
      <c r="Q18" s="37" t="inlineStr"/>
      <c r="R18" s="38" t="inlineStr">
        <is>
          <t>화면정의서 기준 확정 필요</t>
        </is>
      </c>
      <c r="S18" s="37" t="inlineStr">
        <is>
          <t>공통</t>
        </is>
      </c>
      <c r="T18" s="37" t="inlineStr">
        <is>
          <t>작업자5</t>
        </is>
      </c>
    </row>
    <row r="19">
      <c r="A19" s="39">
        <f>IFERROR(INDEX('시나리오'!$G$5:$G$11,MATCH($T19,'시나리오'!$L$5:$L$11,0)),$T19)</f>
        <v/>
      </c>
      <c r="B19" s="39" t="inlineStr">
        <is>
          <t>ADM-018</t>
        </is>
      </c>
      <c r="C19" s="40" t="inlineStr">
        <is>
          <t>어드민</t>
        </is>
      </c>
      <c r="D19" s="40" t="inlineStr">
        <is>
          <t>하드스킬 관리</t>
        </is>
      </c>
      <c r="E19" s="39" t="inlineStr">
        <is>
          <t>P1</t>
        </is>
      </c>
      <c r="F19" s="40" t="inlineStr">
        <is>
          <t>JD 입력·하드스킬 추출</t>
        </is>
      </c>
      <c r="G19" s="40" t="inlineStr">
        <is>
          <t>하드스킬 관리 화면</t>
        </is>
      </c>
      <c r="H19" s="40" t="inlineStr">
        <is>
          <t>직무기술서 텍스트 입력 후 추출</t>
        </is>
      </c>
      <c r="I19" s="40" t="inlineStr">
        <is>
          <t>JD 텍스트</t>
        </is>
      </c>
      <c r="J19" s="40" t="inlineStr">
        <is>
          <t>하드스킬 키워드가 추출되어 표시(②추출 API 연동)</t>
        </is>
      </c>
      <c r="K19" s="39" t="inlineStr"/>
      <c r="L19" s="40" t="inlineStr"/>
      <c r="M19" s="40" t="inlineStr"/>
      <c r="N19" s="40" t="inlineStr"/>
      <c r="O19" s="39" t="inlineStr"/>
      <c r="P19" s="39" t="inlineStr"/>
      <c r="Q19" s="39" t="inlineStr"/>
      <c r="R19" s="40" t="inlineStr">
        <is>
          <t>화면정의서 기준 확정 필요</t>
        </is>
      </c>
      <c r="S19" s="39" t="inlineStr">
        <is>
          <t>공통</t>
        </is>
      </c>
      <c r="T19" s="39" t="inlineStr">
        <is>
          <t>작업자6</t>
        </is>
      </c>
    </row>
    <row r="20">
      <c r="A20" s="37">
        <f>IFERROR(INDEX('시나리오'!$G$5:$G$11,MATCH($T20,'시나리오'!$L$5:$L$11,0)),$T20)</f>
        <v/>
      </c>
      <c r="B20" s="37" t="inlineStr">
        <is>
          <t>ADM-019</t>
        </is>
      </c>
      <c r="C20" s="38" t="inlineStr">
        <is>
          <t>어드민</t>
        </is>
      </c>
      <c r="D20" s="38" t="inlineStr">
        <is>
          <t>하드스킬 관리</t>
        </is>
      </c>
      <c r="E20" s="37" t="inlineStr">
        <is>
          <t>P2</t>
        </is>
      </c>
      <c r="F20" s="38" t="inlineStr">
        <is>
          <t>저장된 직무기술서 목록</t>
        </is>
      </c>
      <c r="G20" s="38" t="inlineStr">
        <is>
          <t>JD 저장 이력</t>
        </is>
      </c>
      <c r="H20" s="38" t="inlineStr">
        <is>
          <t>목록 확인</t>
        </is>
      </c>
      <c r="I20" s="38" t="inlineStr">
        <is>
          <t>-</t>
        </is>
      </c>
      <c r="J20" s="38" t="inlineStr">
        <is>
          <t>아이디·제목·태그형식·하드스킬·작성일 컬럼 표시</t>
        </is>
      </c>
      <c r="K20" s="37" t="inlineStr"/>
      <c r="L20" s="38" t="inlineStr"/>
      <c r="M20" s="38" t="inlineStr"/>
      <c r="N20" s="38" t="inlineStr"/>
      <c r="O20" s="37" t="inlineStr"/>
      <c r="P20" s="37" t="inlineStr"/>
      <c r="Q20" s="37" t="inlineStr"/>
      <c r="R20" s="38" t="inlineStr">
        <is>
          <t>화면정의서 기준 확정 필요</t>
        </is>
      </c>
      <c r="S20" s="37" t="inlineStr">
        <is>
          <t>공통</t>
        </is>
      </c>
      <c r="T20" s="37" t="inlineStr">
        <is>
          <t>작업자7</t>
        </is>
      </c>
    </row>
    <row r="21">
      <c r="A21" s="39">
        <f>IFERROR(INDEX('시나리오'!$G$5:$G$11,MATCH($T21,'시나리오'!$L$5:$L$11,0)),$T21)</f>
        <v/>
      </c>
      <c r="B21" s="39" t="inlineStr">
        <is>
          <t>ADM-020</t>
        </is>
      </c>
      <c r="C21" s="40" t="inlineStr">
        <is>
          <t>어드민</t>
        </is>
      </c>
      <c r="D21" s="40" t="inlineStr">
        <is>
          <t>하드스킬 관리</t>
        </is>
      </c>
      <c r="E21" s="39" t="inlineStr">
        <is>
          <t>P2</t>
        </is>
      </c>
      <c r="F21" s="40" t="inlineStr">
        <is>
          <t>복사/삭제</t>
        </is>
      </c>
      <c r="G21" s="40" t="inlineStr">
        <is>
          <t>목록 항목 존재</t>
        </is>
      </c>
      <c r="H21" s="40" t="inlineStr">
        <is>
          <t>복사·삭제 클릭</t>
        </is>
      </c>
      <c r="I21" s="40" t="inlineStr">
        <is>
          <t>-</t>
        </is>
      </c>
      <c r="J21" s="40" t="inlineStr">
        <is>
          <t>항목 복사 생성, 삭제 시 목록에서 제거</t>
        </is>
      </c>
      <c r="K21" s="39" t="inlineStr"/>
      <c r="L21" s="40" t="inlineStr"/>
      <c r="M21" s="40" t="inlineStr"/>
      <c r="N21" s="40" t="inlineStr"/>
      <c r="O21" s="39" t="inlineStr"/>
      <c r="P21" s="39" t="inlineStr"/>
      <c r="Q21" s="39" t="inlineStr"/>
      <c r="R21" s="40" t="inlineStr">
        <is>
          <t>화면정의서 기준 확정 필요</t>
        </is>
      </c>
      <c r="S21" s="39" t="inlineStr">
        <is>
          <t>공통</t>
        </is>
      </c>
      <c r="T21" s="39" t="inlineStr">
        <is>
          <t>작업자1</t>
        </is>
      </c>
    </row>
    <row r="22">
      <c r="A22" s="37">
        <f>IFERROR(INDEX('시나리오'!$G$5:$G$11,MATCH($T22,'시나리오'!$L$5:$L$11,0)),$T22)</f>
        <v/>
      </c>
      <c r="B22" s="37" t="inlineStr">
        <is>
          <t>ADM-021</t>
        </is>
      </c>
      <c r="C22" s="38" t="inlineStr">
        <is>
          <t>어드민</t>
        </is>
      </c>
      <c r="D22" s="38" t="inlineStr">
        <is>
          <t>하드스킬 관리</t>
        </is>
      </c>
      <c r="E22" s="37" t="inlineStr">
        <is>
          <t>P3</t>
        </is>
      </c>
      <c r="F22" s="38" t="inlineStr">
        <is>
          <t>태그형식 표시</t>
        </is>
      </c>
      <c r="G22" s="38" t="inlineStr">
        <is>
          <t>하드스킬 존재</t>
        </is>
      </c>
      <c r="H22" s="38" t="inlineStr">
        <is>
          <t>태그형식 보기</t>
        </is>
      </c>
      <c r="I22" s="38" t="inlineStr">
        <is>
          <t>-</t>
        </is>
      </c>
      <c r="J22" s="38" t="inlineStr">
        <is>
          <t>하드스킬이 태그 형식으로 표시</t>
        </is>
      </c>
      <c r="K22" s="37" t="inlineStr"/>
      <c r="L22" s="38" t="inlineStr"/>
      <c r="M22" s="38" t="inlineStr"/>
      <c r="N22" s="38" t="inlineStr"/>
      <c r="O22" s="37" t="inlineStr"/>
      <c r="P22" s="37" t="inlineStr"/>
      <c r="Q22" s="37" t="inlineStr"/>
      <c r="R22" s="38" t="inlineStr">
        <is>
          <t>화면정의서 기준 확정 필요</t>
        </is>
      </c>
      <c r="S22" s="37" t="inlineStr">
        <is>
          <t>공통</t>
        </is>
      </c>
      <c r="T22" s="37" t="inlineStr">
        <is>
          <t>작업자2</t>
        </is>
      </c>
    </row>
    <row r="23">
      <c r="A23" s="39">
        <f>IFERROR(INDEX('시나리오'!$G$5:$G$11,MATCH($T23,'시나리오'!$L$5:$L$11,0)),$T23)</f>
        <v/>
      </c>
      <c r="B23" s="39" t="inlineStr">
        <is>
          <t>ADM-022</t>
        </is>
      </c>
      <c r="C23" s="40" t="inlineStr">
        <is>
          <t>어드민</t>
        </is>
      </c>
      <c r="D23" s="40" t="inlineStr">
        <is>
          <t>하드스킬 관리</t>
        </is>
      </c>
      <c r="E23" s="39" t="inlineStr">
        <is>
          <t>P3</t>
        </is>
      </c>
      <c r="F23" s="40" t="inlineStr">
        <is>
          <t>다크/라이트 모드</t>
        </is>
      </c>
      <c r="G23" s="40" t="inlineStr">
        <is>
          <t>화면 진입</t>
        </is>
      </c>
      <c r="H23" s="40" t="inlineStr">
        <is>
          <t>어둡게/밝게 전환</t>
        </is>
      </c>
      <c r="I23" s="40" t="inlineStr">
        <is>
          <t>-</t>
        </is>
      </c>
      <c r="J23" s="40" t="inlineStr">
        <is>
          <t>테마 전환이 정상 적용</t>
        </is>
      </c>
      <c r="K23" s="39" t="inlineStr"/>
      <c r="L23" s="40" t="inlineStr"/>
      <c r="M23" s="40" t="inlineStr"/>
      <c r="N23" s="40" t="inlineStr"/>
      <c r="O23" s="39" t="inlineStr"/>
      <c r="P23" s="39" t="inlineStr"/>
      <c r="Q23" s="39" t="inlineStr"/>
      <c r="R23" s="40" t="inlineStr">
        <is>
          <t>화면정의서 기준 확정 필요</t>
        </is>
      </c>
      <c r="S23" s="39" t="inlineStr">
        <is>
          <t>공통</t>
        </is>
      </c>
      <c r="T23" s="39" t="inlineStr">
        <is>
          <t>작업자3</t>
        </is>
      </c>
    </row>
    <row r="24">
      <c r="A24" s="37">
        <f>IFERROR(INDEX('시나리오'!$G$5:$G$11,MATCH($T24,'시나리오'!$L$5:$L$11,0)),$T24)</f>
        <v/>
      </c>
      <c r="B24" s="37" t="inlineStr">
        <is>
          <t>ADM-023</t>
        </is>
      </c>
      <c r="C24" s="38" t="inlineStr">
        <is>
          <t>어드민</t>
        </is>
      </c>
      <c r="D24" s="38" t="inlineStr">
        <is>
          <t>검사요청 확인</t>
        </is>
      </c>
      <c r="E24" s="37" t="inlineStr">
        <is>
          <t>P1</t>
        </is>
      </c>
      <c r="F24" s="38" t="inlineStr">
        <is>
          <t>6개 검사 섹션 표시</t>
        </is>
      </c>
      <c r="G24" s="38" t="inlineStr">
        <is>
          <t>검사요청 완료</t>
        </is>
      </c>
      <c r="H24" s="38" t="inlineStr">
        <is>
          <t>확인 화면 진입</t>
        </is>
      </c>
      <c r="I24" s="38" t="inlineStr">
        <is>
          <t>-</t>
        </is>
      </c>
      <c r="J24" s="38" t="inlineStr">
        <is>
          <t>채용정보·결함검사·표절검사·GPT Killer·블라인드·BP평가 6섹션 모두 표시</t>
        </is>
      </c>
      <c r="K24" s="37" t="inlineStr"/>
      <c r="L24" s="38" t="inlineStr"/>
      <c r="M24" s="38" t="inlineStr"/>
      <c r="N24" s="38" t="inlineStr"/>
      <c r="O24" s="37" t="inlineStr"/>
      <c r="P24" s="37" t="inlineStr"/>
      <c r="Q24" s="37" t="inlineStr"/>
      <c r="R24" s="38" t="inlineStr">
        <is>
          <t>화면정의서 기준 확정 필요</t>
        </is>
      </c>
      <c r="S24" s="37" t="inlineStr">
        <is>
          <t>공통</t>
        </is>
      </c>
      <c r="T24" s="37" t="inlineStr">
        <is>
          <t>작업자4</t>
        </is>
      </c>
    </row>
    <row r="25">
      <c r="A25" s="39">
        <f>IFERROR(INDEX('시나리오'!$G$5:$G$11,MATCH($T25,'시나리오'!$L$5:$L$11,0)),$T25)</f>
        <v/>
      </c>
      <c r="B25" s="39" t="inlineStr">
        <is>
          <t>ADM-024</t>
        </is>
      </c>
      <c r="C25" s="40" t="inlineStr">
        <is>
          <t>어드민</t>
        </is>
      </c>
      <c r="D25" s="40" t="inlineStr">
        <is>
          <t>검사요청 확인</t>
        </is>
      </c>
      <c r="E25" s="39" t="inlineStr">
        <is>
          <t>P2</t>
        </is>
      </c>
      <c r="F25" s="40" t="inlineStr">
        <is>
          <t>등급(중대/의심/참고) 표시</t>
        </is>
      </c>
      <c r="G25" s="40" t="inlineStr">
        <is>
          <t>검사 설정 존재</t>
        </is>
      </c>
      <c r="H25" s="40" t="inlineStr">
        <is>
          <t>등급 확인</t>
        </is>
      </c>
      <c r="I25" s="40" t="inlineStr">
        <is>
          <t>-</t>
        </is>
      </c>
      <c r="J25" s="40" t="inlineStr">
        <is>
          <t>결함/블라인드 항목별 등급(중대·의심·참고)이 설정값대로 표시</t>
        </is>
      </c>
      <c r="K25" s="39" t="inlineStr"/>
      <c r="L25" s="40" t="inlineStr"/>
      <c r="M25" s="40" t="inlineStr"/>
      <c r="N25" s="40" t="inlineStr"/>
      <c r="O25" s="39" t="inlineStr"/>
      <c r="P25" s="39" t="inlineStr"/>
      <c r="Q25" s="39" t="inlineStr"/>
      <c r="R25" s="40" t="inlineStr">
        <is>
          <t>화면정의서 기준 확정 필요</t>
        </is>
      </c>
      <c r="S25" s="39" t="inlineStr">
        <is>
          <t>공통</t>
        </is>
      </c>
      <c r="T25" s="39" t="inlineStr">
        <is>
          <t>작업자5</t>
        </is>
      </c>
    </row>
    <row r="26">
      <c r="A26" s="37">
        <f>IFERROR(INDEX('시나리오'!$G$5:$G$11,MATCH($T26,'시나리오'!$L$5:$L$11,0)),$T26)</f>
        <v/>
      </c>
      <c r="B26" s="37" t="inlineStr">
        <is>
          <t>ADM-025</t>
        </is>
      </c>
      <c r="C26" s="38" t="inlineStr">
        <is>
          <t>어드민</t>
        </is>
      </c>
      <c r="D26" s="38" t="inlineStr">
        <is>
          <t>검사요청 확인</t>
        </is>
      </c>
      <c r="E26" s="37" t="inlineStr">
        <is>
          <t>P2</t>
        </is>
      </c>
      <c r="F26" s="38" t="inlineStr">
        <is>
          <t>부적격 기준·제외 문항</t>
        </is>
      </c>
      <c r="G26" s="38" t="inlineStr">
        <is>
          <t>검사 설정 존재</t>
        </is>
      </c>
      <c r="H26" s="38" t="inlineStr">
        <is>
          <t>항목 확인</t>
        </is>
      </c>
      <c r="I26" s="38" t="inlineStr">
        <is>
          <t>-</t>
        </is>
      </c>
      <c r="J26" s="38" t="inlineStr">
        <is>
          <t>검사별 부적격 기준·제외 문항이 설정대로 표시</t>
        </is>
      </c>
      <c r="K26" s="37" t="inlineStr"/>
      <c r="L26" s="38" t="inlineStr"/>
      <c r="M26" s="38" t="inlineStr"/>
      <c r="N26" s="38" t="inlineStr"/>
      <c r="O26" s="37" t="inlineStr"/>
      <c r="P26" s="37" t="inlineStr"/>
      <c r="Q26" s="37" t="inlineStr"/>
      <c r="R26" s="38" t="inlineStr">
        <is>
          <t>화면정의서 기준 확정 필요</t>
        </is>
      </c>
      <c r="S26" s="37" t="inlineStr">
        <is>
          <t>공통</t>
        </is>
      </c>
      <c r="T26" s="37" t="inlineStr">
        <is>
          <t>작업자6</t>
        </is>
      </c>
    </row>
    <row r="27">
      <c r="A27" s="39">
        <f>IFERROR(INDEX('시나리오'!$G$5:$G$11,MATCH($T27,'시나리오'!$L$5:$L$11,0)),$T27)</f>
        <v/>
      </c>
      <c r="B27" s="39" t="inlineStr">
        <is>
          <t>ADM-026</t>
        </is>
      </c>
      <c r="C27" s="40" t="inlineStr">
        <is>
          <t>어드민</t>
        </is>
      </c>
      <c r="D27" s="40" t="inlineStr">
        <is>
          <t>검사요청 확인</t>
        </is>
      </c>
      <c r="E27" s="39" t="inlineStr">
        <is>
          <t>P2</t>
        </is>
      </c>
      <c r="F27" s="40" t="inlineStr">
        <is>
          <t>PDF 다운로드</t>
        </is>
      </c>
      <c r="G27" s="40" t="inlineStr">
        <is>
          <t>확인 화면</t>
        </is>
      </c>
      <c r="H27" s="40" t="inlineStr">
        <is>
          <t>PDF 다운로드 클릭</t>
        </is>
      </c>
      <c r="I27" s="40" t="inlineStr">
        <is>
          <t>-</t>
        </is>
      </c>
      <c r="J27" s="40" t="inlineStr">
        <is>
          <t>검사 요청 내용이 PDF로 다운로드</t>
        </is>
      </c>
      <c r="K27" s="39" t="inlineStr"/>
      <c r="L27" s="40" t="inlineStr"/>
      <c r="M27" s="40" t="inlineStr"/>
      <c r="N27" s="40" t="inlineStr"/>
      <c r="O27" s="39" t="inlineStr"/>
      <c r="P27" s="39" t="inlineStr"/>
      <c r="Q27" s="39" t="inlineStr"/>
      <c r="R27" s="40" t="inlineStr">
        <is>
          <t>화면정의서 기준 확정 필요</t>
        </is>
      </c>
      <c r="S27" s="39" t="inlineStr">
        <is>
          <t>공통</t>
        </is>
      </c>
      <c r="T27" s="39" t="inlineStr">
        <is>
          <t>작업자7</t>
        </is>
      </c>
    </row>
    <row r="28">
      <c r="A28" s="37">
        <f>IFERROR(INDEX('시나리오'!$G$5:$G$11,MATCH($T28,'시나리오'!$L$5:$L$11,0)),$T28)</f>
        <v/>
      </c>
      <c r="B28" s="37" t="inlineStr">
        <is>
          <t>ADM-027</t>
        </is>
      </c>
      <c r="C28" s="38" t="inlineStr">
        <is>
          <t>어드민</t>
        </is>
      </c>
      <c r="D28" s="38" t="inlineStr">
        <is>
          <t>검사요청 확인</t>
        </is>
      </c>
      <c r="E28" s="37" t="inlineStr">
        <is>
          <t>P3</t>
        </is>
      </c>
      <c r="F28" s="38" t="inlineStr">
        <is>
          <t>BP평가 버전 표시</t>
        </is>
      </c>
      <c r="G28" s="38" t="inlineStr">
        <is>
          <t>BP평가 포함</t>
        </is>
      </c>
      <c r="H28" s="38" t="inlineStr">
        <is>
          <t>버전 확인</t>
        </is>
      </c>
      <c r="I28" s="38" t="inlineStr">
        <is>
          <t>-</t>
        </is>
      </c>
      <c r="J28" s="38" t="inlineStr">
        <is>
          <t>BP평가 버전이 표시</t>
        </is>
      </c>
      <c r="K28" s="37" t="inlineStr"/>
      <c r="L28" s="38" t="inlineStr"/>
      <c r="M28" s="38" t="inlineStr"/>
      <c r="N28" s="38" t="inlineStr"/>
      <c r="O28" s="37" t="inlineStr"/>
      <c r="P28" s="37" t="inlineStr"/>
      <c r="Q28" s="37" t="inlineStr"/>
      <c r="R28" s="38" t="inlineStr">
        <is>
          <t>화면정의서 기준 확정 필요</t>
        </is>
      </c>
      <c r="S28" s="37" t="inlineStr">
        <is>
          <t>공통</t>
        </is>
      </c>
      <c r="T28" s="37" t="inlineStr">
        <is>
          <t>작업자1</t>
        </is>
      </c>
    </row>
    <row r="29">
      <c r="A29" s="39">
        <f>IFERROR(INDEX('시나리오'!$G$5:$G$11,MATCH($T29,'시나리오'!$L$5:$L$11,0)),$T29)</f>
        <v/>
      </c>
      <c r="B29" s="39" t="inlineStr">
        <is>
          <t>ADM-028</t>
        </is>
      </c>
      <c r="C29" s="40" t="inlineStr">
        <is>
          <t>어드민</t>
        </is>
      </c>
      <c r="D29" s="40" t="inlineStr">
        <is>
          <t>접수-등록 자소서 유형</t>
        </is>
      </c>
      <c r="E29" s="39" t="inlineStr">
        <is>
          <t>P1</t>
        </is>
      </c>
      <c r="F29" s="40" t="inlineStr">
        <is>
          <t>비교군 10명 미만 상위% 안내문</t>
        </is>
      </c>
      <c r="G29" s="40" t="inlineStr">
        <is>
          <t>접수 화면 - 등록 자소서 유형(벌크형/단건형) 선택</t>
        </is>
      </c>
      <c r="H29" s="40" t="inlineStr">
        <is>
          <t>벌크형/단건형 설명 하단 안내문 확인</t>
        </is>
      </c>
      <c r="I29" s="40" t="inlineStr">
        <is>
          <t>-</t>
        </is>
      </c>
      <c r="J29" s="40" t="inlineStr">
        <is>
          <t>'직무별 평가 비교군이 10명 미만일 경우 BP평가에서 상위 10% 비교 정보가 제공되지 않습니다' 안내문이 벌크형/단건형 설명 하단에 노출(결과지 E1·E8·S2와 동일 기준)</t>
        </is>
      </c>
      <c r="K29" s="39" t="inlineStr"/>
      <c r="L29" s="40" t="inlineStr"/>
      <c r="M29" s="40" t="inlineStr"/>
      <c r="N29" s="40" t="inlineStr"/>
      <c r="O29" s="39" t="inlineStr"/>
      <c r="P29" s="39" t="inlineStr"/>
      <c r="Q29" s="39" t="inlineStr"/>
      <c r="R29" s="40" t="inlineStr">
        <is>
          <t>화면정의서 기준 확정 필요</t>
        </is>
      </c>
      <c r="S29" s="39" t="inlineStr">
        <is>
          <t>공통</t>
        </is>
      </c>
      <c r="T29" s="39" t="inlineStr">
        <is>
          <t>작업자2</t>
        </is>
      </c>
    </row>
    <row r="30">
      <c r="A30" s="37">
        <f>IFERROR(INDEX('시나리오'!$G$5:$G$11,MATCH($T30,'시나리오'!$L$5:$L$11,0)),$T30)</f>
        <v/>
      </c>
      <c r="B30" s="37" t="inlineStr">
        <is>
          <t>ADM-029</t>
        </is>
      </c>
      <c r="C30" s="38" t="inlineStr">
        <is>
          <t>어드민</t>
        </is>
      </c>
      <c r="D30" s="38" t="inlineStr">
        <is>
          <t>접수-BP평가 버전</t>
        </is>
      </c>
      <c r="E30" s="37" t="inlineStr">
        <is>
          <t>P2</t>
        </is>
      </c>
      <c r="F30" s="38" t="inlineStr">
        <is>
          <t>BP v2 라디오 제거(v3/v4만)</t>
        </is>
      </c>
      <c r="G30" s="38" t="inlineStr">
        <is>
          <t>접수 화면 - BP평가 버전 선택</t>
        </is>
      </c>
      <c r="H30" s="38" t="inlineStr">
        <is>
          <t>버전 선택지 확인</t>
        </is>
      </c>
      <c r="I30" s="38" t="inlineStr">
        <is>
          <t>-</t>
        </is>
      </c>
      <c r="J30" s="38" t="inlineStr">
        <is>
          <t>BP평가 버전 선택에서 v2 라디오 제거, v3·v4만 노출</t>
        </is>
      </c>
      <c r="K30" s="37" t="inlineStr"/>
      <c r="L30" s="38" t="inlineStr"/>
      <c r="M30" s="38" t="inlineStr"/>
      <c r="N30" s="38" t="inlineStr"/>
      <c r="O30" s="37" t="inlineStr"/>
      <c r="P30" s="37" t="inlineStr"/>
      <c r="Q30" s="37" t="inlineStr"/>
      <c r="R30" s="38" t="inlineStr">
        <is>
          <t>화면정의서 기준 확정 필요</t>
        </is>
      </c>
      <c r="S30" s="37" t="inlineStr">
        <is>
          <t>공통</t>
        </is>
      </c>
      <c r="T30" s="37" t="inlineStr">
        <is>
          <t>작업자3</t>
        </is>
      </c>
    </row>
    <row r="31">
      <c r="A31" s="39">
        <f>IFERROR(INDEX('시나리오'!$G$5:$G$11,MATCH($T31,'시나리오'!$L$5:$L$11,0)),$T31)</f>
        <v/>
      </c>
      <c r="B31" s="39" t="inlineStr">
        <is>
          <t>ADM-030</t>
        </is>
      </c>
      <c r="C31" s="40" t="inlineStr">
        <is>
          <t>어드민</t>
        </is>
      </c>
      <c r="D31" s="40" t="inlineStr">
        <is>
          <t>접수-BP평가 버전</t>
        </is>
      </c>
      <c r="E31" s="39" t="inlineStr">
        <is>
          <t>P1</t>
        </is>
      </c>
      <c r="F31" s="40" t="inlineStr">
        <is>
          <t>v3 선택 시 직무기술서 미출력</t>
        </is>
      </c>
      <c r="G31" s="40" t="inlineStr">
        <is>
          <t>접수 화면 - BP평가 v3/v4</t>
        </is>
      </c>
      <c r="H31" s="40" t="inlineStr">
        <is>
          <t>버전 v3↔v4 전환</t>
        </is>
      </c>
      <c r="I31" s="40" t="inlineStr">
        <is>
          <t>-</t>
        </is>
      </c>
      <c r="J31" s="40" t="inlineStr">
        <is>
          <t>BP평가 v3 선택 시 직무기술서 첨부 영역 미출력, v4 선택 시 출력</t>
        </is>
      </c>
      <c r="K31" s="39" t="inlineStr"/>
      <c r="L31" s="40" t="inlineStr"/>
      <c r="M31" s="40" t="inlineStr"/>
      <c r="N31" s="40" t="inlineStr"/>
      <c r="O31" s="39" t="inlineStr"/>
      <c r="P31" s="39" t="inlineStr"/>
      <c r="Q31" s="39" t="inlineStr"/>
      <c r="R31" s="40" t="inlineStr">
        <is>
          <t>화면정의서 기준 확정 필요</t>
        </is>
      </c>
      <c r="S31" s="39" t="inlineStr">
        <is>
          <t>공통</t>
        </is>
      </c>
      <c r="T31" s="39" t="inlineStr">
        <is>
          <t>작업자4</t>
        </is>
      </c>
    </row>
    <row r="32">
      <c r="A32" s="37">
        <f>IFERROR(INDEX('시나리오'!$G$5:$G$11,MATCH($T32,'시나리오'!$L$5:$L$11,0)),$T32)</f>
        <v/>
      </c>
      <c r="B32" s="37" t="inlineStr">
        <is>
          <t>ADM-031</t>
        </is>
      </c>
      <c r="C32" s="38" t="inlineStr">
        <is>
          <t>어드민</t>
        </is>
      </c>
      <c r="D32" s="38" t="inlineStr">
        <is>
          <t>접수-전형 통과 기준</t>
        </is>
      </c>
      <c r="E32" s="37" t="inlineStr">
        <is>
          <t>P1</t>
        </is>
      </c>
      <c r="F32" s="38" t="inlineStr">
        <is>
          <t>배수 기준 단일화(점수 기준 제거)</t>
        </is>
      </c>
      <c r="G32" s="38" t="inlineStr">
        <is>
          <t>프리즘워크/브릿지 접수 화면</t>
        </is>
      </c>
      <c r="H32" s="38" t="inlineStr">
        <is>
          <t>전형 통과 기준 영역 확인</t>
        </is>
      </c>
      <c r="I32" s="38" t="inlineStr">
        <is>
          <t>-</t>
        </is>
      </c>
      <c r="J32" s="38" t="inlineStr">
        <is>
          <t>전형 통과 기준이 '배수 기준' 단일로 운영. 기존 '점수 기준' 옵션 제거(점수 기준은 RP매칭 부적격에만 존재). 프리즘 종합점수 기준 산출(BP 단독 선택 시 BP평가 점수 기준)</t>
        </is>
      </c>
      <c r="K32" s="37" t="inlineStr"/>
      <c r="L32" s="38" t="inlineStr"/>
      <c r="M32" s="38" t="inlineStr"/>
      <c r="N32" s="38" t="inlineStr"/>
      <c r="O32" s="37" t="inlineStr"/>
      <c r="P32" s="37" t="inlineStr"/>
      <c r="Q32" s="37" t="inlineStr"/>
      <c r="R32" s="38" t="inlineStr">
        <is>
          <t>화면정의서 기준 확정 필요</t>
        </is>
      </c>
      <c r="S32" s="37" t="inlineStr">
        <is>
          <t>공통</t>
        </is>
      </c>
      <c r="T32" s="37" t="inlineStr">
        <is>
          <t>작업자5</t>
        </is>
      </c>
    </row>
    <row r="33">
      <c r="A33" s="39">
        <f>IFERROR(INDEX('시나리오'!$G$5:$G$11,MATCH($T33,'시나리오'!$L$5:$L$11,0)),$T33)</f>
        <v/>
      </c>
      <c r="B33" s="39" t="inlineStr">
        <is>
          <t>ADM-032</t>
        </is>
      </c>
      <c r="C33" s="40" t="inlineStr">
        <is>
          <t>어드민</t>
        </is>
      </c>
      <c r="D33" s="40" t="inlineStr">
        <is>
          <t>접수-전형 통과 기준</t>
        </is>
      </c>
      <c r="E33" s="39" t="inlineStr">
        <is>
          <t>P1</t>
        </is>
      </c>
      <c r="F33" s="40" t="inlineStr">
        <is>
          <t>사용 여부 라디오 제거·기본 미체크</t>
        </is>
      </c>
      <c r="G33" s="40" t="inlineStr">
        <is>
          <t>접수 화면</t>
        </is>
      </c>
      <c r="H33" s="40" t="inlineStr">
        <is>
          <t>사용 안 함/사용함 라디오 확인</t>
        </is>
      </c>
      <c r="I33" s="40" t="inlineStr">
        <is>
          <t>-</t>
        </is>
      </c>
      <c r="J33" s="40" t="inlineStr">
        <is>
          <t>'사용 안 함/사용함' 라디오 제거. 배수 기준 체크박스 1개로 사용 여부 결정(기본값 미체크, 체크 시 적용·입력칸 활성화, 미체크 시 미적용·입력칸 비활성화)</t>
        </is>
      </c>
      <c r="K33" s="39" t="inlineStr"/>
      <c r="L33" s="40" t="inlineStr"/>
      <c r="M33" s="40" t="inlineStr"/>
      <c r="N33" s="40" t="inlineStr"/>
      <c r="O33" s="39" t="inlineStr"/>
      <c r="P33" s="39" t="inlineStr"/>
      <c r="Q33" s="39" t="inlineStr"/>
      <c r="R33" s="40" t="inlineStr">
        <is>
          <t>화면정의서 기준 확정 필요</t>
        </is>
      </c>
      <c r="S33" s="39" t="inlineStr">
        <is>
          <t>공통</t>
        </is>
      </c>
      <c r="T33" s="39" t="inlineStr">
        <is>
          <t>작업자6</t>
        </is>
      </c>
    </row>
    <row r="34">
      <c r="A34" s="37">
        <f>IFERROR(INDEX('시나리오'!$G$5:$G$11,MATCH($T34,'시나리오'!$L$5:$L$11,0)),$T34)</f>
        <v/>
      </c>
      <c r="B34" s="37" t="inlineStr">
        <is>
          <t>ADM-033</t>
        </is>
      </c>
      <c r="C34" s="38" t="inlineStr">
        <is>
          <t>어드민</t>
        </is>
      </c>
      <c r="D34" s="38" t="inlineStr">
        <is>
          <t>접수-전형 통과 기준</t>
        </is>
      </c>
      <c r="E34" s="37" t="inlineStr">
        <is>
          <t>P2</t>
        </is>
      </c>
      <c r="F34" s="38" t="inlineStr">
        <is>
          <t>전형 통과 기준 별도 영역 분리</t>
        </is>
      </c>
      <c r="G34" s="38" t="inlineStr">
        <is>
          <t>접수 화면</t>
        </is>
      </c>
      <c r="H34" s="38" t="inlineStr">
        <is>
          <t>영역 위치 확인</t>
        </is>
      </c>
      <c r="I34" s="38" t="inlineStr">
        <is>
          <t>-</t>
        </is>
      </c>
      <c r="J34" s="38" t="inlineStr">
        <is>
          <t>전형 통과 기준이 별도 영역으로 분리되어 직무기술서 첨부 영역 위에 배치(BP평가 결과 기준 판정)</t>
        </is>
      </c>
      <c r="K34" s="37" t="inlineStr"/>
      <c r="L34" s="38" t="inlineStr"/>
      <c r="M34" s="38" t="inlineStr"/>
      <c r="N34" s="38" t="inlineStr"/>
      <c r="O34" s="37" t="inlineStr"/>
      <c r="P34" s="37" t="inlineStr"/>
      <c r="Q34" s="37" t="inlineStr"/>
      <c r="R34" s="38" t="inlineStr">
        <is>
          <t>화면정의서 기준 확정 필요</t>
        </is>
      </c>
      <c r="S34" s="37" t="inlineStr">
        <is>
          <t>공통</t>
        </is>
      </c>
      <c r="T34" s="37" t="inlineStr">
        <is>
          <t>작업자7</t>
        </is>
      </c>
    </row>
    <row r="35">
      <c r="A35" s="39">
        <f>IFERROR(INDEX('시나리오'!$G$5:$G$11,MATCH($T35,'시나리오'!$L$5:$L$11,0)),$T35)</f>
        <v/>
      </c>
      <c r="B35" s="39" t="inlineStr">
        <is>
          <t>ADM-034</t>
        </is>
      </c>
      <c r="C35" s="40" t="inlineStr">
        <is>
          <t>어드민</t>
        </is>
      </c>
      <c r="D35" s="40" t="inlineStr">
        <is>
          <t>접수-전형 통과 기준</t>
        </is>
      </c>
      <c r="E35" s="39" t="inlineStr">
        <is>
          <t>P1</t>
        </is>
      </c>
      <c r="F35" s="40" t="inlineStr">
        <is>
          <t>배수 기준 입력·검증</t>
        </is>
      </c>
      <c r="G35" s="40" t="inlineStr">
        <is>
          <t>접수 화면</t>
        </is>
      </c>
      <c r="H35" s="40" t="inlineStr">
        <is>
          <t>배수 기준 체크 후 입력·저장</t>
        </is>
      </c>
      <c r="I35" s="40" t="inlineStr">
        <is>
          <t>모집인원·배수 미입력 / 문자·기호 입력</t>
        </is>
      </c>
      <c r="J35" s="40" t="inlineStr">
        <is>
          <t>체크 시 '모집인원 ( )명 / ( )배수 미만 시 검토 필요' 활성화. 모집인원·배수 모두 입력 필수(미입력 저장 차단), 숫자만 입력(문자·기호 불가). 결과지 표기: 충족 'N배수 이내'(권장)/미달 'N배수 미만'(검토 필요)</t>
        </is>
      </c>
      <c r="K35" s="39" t="inlineStr"/>
      <c r="L35" s="40" t="inlineStr"/>
      <c r="M35" s="40" t="inlineStr"/>
      <c r="N35" s="40" t="inlineStr"/>
      <c r="O35" s="39" t="inlineStr"/>
      <c r="P35" s="39" t="inlineStr"/>
      <c r="Q35" s="39" t="inlineStr"/>
      <c r="R35" s="40" t="inlineStr">
        <is>
          <t>화면정의서 기준 확정 필요</t>
        </is>
      </c>
      <c r="S35" s="39" t="inlineStr">
        <is>
          <t>공통</t>
        </is>
      </c>
      <c r="T35" s="39" t="inlineStr">
        <is>
          <t>작업자1</t>
        </is>
      </c>
    </row>
    <row r="36">
      <c r="A36" s="37">
        <f>IFERROR(INDEX('시나리오'!$G$5:$G$11,MATCH($T36,'시나리오'!$L$5:$L$11,0)),$T36)</f>
        <v/>
      </c>
      <c r="B36" s="37" t="inlineStr">
        <is>
          <t>ADM-035</t>
        </is>
      </c>
      <c r="C36" s="38" t="inlineStr">
        <is>
          <t>어드민</t>
        </is>
      </c>
      <c r="D36" s="38" t="inlineStr">
        <is>
          <t>접수-전형 통과 기준</t>
        </is>
      </c>
      <c r="E36" s="37" t="inlineStr">
        <is>
          <t>P2</t>
        </is>
      </c>
      <c r="F36" s="38" t="inlineStr">
        <is>
          <t>복수 평가 판정 안내문</t>
        </is>
      </c>
      <c r="G36" s="38" t="inlineStr">
        <is>
          <t>접수 화면 · BP 포함 2종 이상 선택</t>
        </is>
      </c>
      <c r="H36" s="38" t="inlineStr">
        <is>
          <t>안내문 노출 확인</t>
        </is>
      </c>
      <c r="I36" s="38" t="inlineStr">
        <is>
          <t>-</t>
        </is>
      </c>
      <c r="J36" s="38" t="inlineStr">
        <is>
          <t>BP평가 포함 2개 이상 평가 선택 시 'BP평가를 포함해 2개 이상의 평가를 선택하여, 모든 평가 결과를 기준으로 판정합니다' 안내문 노출(1종 선택 시 미노출)</t>
        </is>
      </c>
      <c r="K36" s="37" t="inlineStr"/>
      <c r="L36" s="38" t="inlineStr"/>
      <c r="M36" s="38" t="inlineStr"/>
      <c r="N36" s="38" t="inlineStr"/>
      <c r="O36" s="37" t="inlineStr"/>
      <c r="P36" s="37" t="inlineStr"/>
      <c r="Q36" s="37" t="inlineStr"/>
      <c r="R36" s="38" t="inlineStr">
        <is>
          <t>화면정의서 기준 확정 필요</t>
        </is>
      </c>
      <c r="S36" s="37" t="inlineStr">
        <is>
          <t>공통</t>
        </is>
      </c>
      <c r="T36" s="37" t="inlineStr">
        <is>
          <t>작업자2</t>
        </is>
      </c>
    </row>
    <row r="37">
      <c r="A37" s="39">
        <f>IFERROR(INDEX('시나리오'!$G$5:$G$11,MATCH($T37,'시나리오'!$L$5:$L$11,0)),$T37)</f>
        <v/>
      </c>
      <c r="B37" s="39" t="inlineStr">
        <is>
          <t>ADM-036</t>
        </is>
      </c>
      <c r="C37" s="40" t="inlineStr">
        <is>
          <t>어드민</t>
        </is>
      </c>
      <c r="D37" s="40" t="inlineStr">
        <is>
          <t>접수-직무기술서 업로드</t>
        </is>
      </c>
      <c r="E37" s="39" t="inlineStr">
        <is>
          <t>P1</t>
        </is>
      </c>
      <c r="F37" s="40" t="inlineStr">
        <is>
          <t>활성화 조건·필수</t>
        </is>
      </c>
      <c r="G37" s="40" t="inlineStr">
        <is>
          <t>접수 화면</t>
        </is>
      </c>
      <c r="H37" s="40" t="inlineStr">
        <is>
          <t>BP/RP 선택·해제</t>
        </is>
      </c>
      <c r="I37" s="40" t="inlineStr">
        <is>
          <t>-</t>
        </is>
      </c>
      <c r="J37" s="40" t="inlineStr">
        <is>
          <t>BP평가 또는 RP매칭 선택 시 직무기술서 업로드 영역 활성화(하나만 선택해도). 단 BP v3 단독 선택 시 미출력. 필수 업로드(미업로드 시 제출 불가). RP매칭 영역과 동일 테이블 형태</t>
        </is>
      </c>
      <c r="K37" s="39" t="inlineStr"/>
      <c r="L37" s="40" t="inlineStr"/>
      <c r="M37" s="40" t="inlineStr"/>
      <c r="N37" s="40" t="inlineStr"/>
      <c r="O37" s="39" t="inlineStr"/>
      <c r="P37" s="39" t="inlineStr"/>
      <c r="Q37" s="39" t="inlineStr"/>
      <c r="R37" s="40" t="inlineStr">
        <is>
          <t>화면정의서 기준 확정 필요</t>
        </is>
      </c>
      <c r="S37" s="39" t="inlineStr">
        <is>
          <t>공통</t>
        </is>
      </c>
      <c r="T37" s="39" t="inlineStr">
        <is>
          <t>작업자3</t>
        </is>
      </c>
    </row>
    <row r="38">
      <c r="A38" s="37">
        <f>IFERROR(INDEX('시나리오'!$G$5:$G$11,MATCH($T38,'시나리오'!$L$5:$L$11,0)),$T38)</f>
        <v/>
      </c>
      <c r="B38" s="37" t="inlineStr">
        <is>
          <t>ADM-037</t>
        </is>
      </c>
      <c r="C38" s="38" t="inlineStr">
        <is>
          <t>어드민</t>
        </is>
      </c>
      <c r="D38" s="38" t="inlineStr">
        <is>
          <t>접수-직무기술서 업로드</t>
        </is>
      </c>
      <c r="E38" s="37" t="inlineStr">
        <is>
          <t>P1</t>
        </is>
      </c>
      <c r="F38" s="38" t="inlineStr">
        <is>
          <t>파일 추가·목록 표시</t>
        </is>
      </c>
      <c r="G38" s="38" t="inlineStr">
        <is>
          <t>직무기술서 영역 활성</t>
        </is>
      </c>
      <c r="H38" s="38" t="inlineStr">
        <is>
          <t>[파일 추가] 클릭·업로드</t>
        </is>
      </c>
      <c r="I38" s="38" t="inlineStr">
        <is>
          <t>JD/채용공고 파일</t>
        </is>
      </c>
      <c r="J38" s="38" t="inlineStr">
        <is>
          <t>[파일 추가] 시 파일 탐색기. 업로드 전 '등록된 파일이 없습니다.' 표시 / 업로드 후 파일명·파일크기·삭제 버튼 표시</t>
        </is>
      </c>
      <c r="K38" s="37" t="inlineStr"/>
      <c r="L38" s="38" t="inlineStr"/>
      <c r="M38" s="38" t="inlineStr"/>
      <c r="N38" s="38" t="inlineStr"/>
      <c r="O38" s="37" t="inlineStr"/>
      <c r="P38" s="37" t="inlineStr"/>
      <c r="Q38" s="37" t="inlineStr"/>
      <c r="R38" s="38" t="inlineStr">
        <is>
          <t>화면정의서 기준 확정 필요</t>
        </is>
      </c>
      <c r="S38" s="37" t="inlineStr">
        <is>
          <t>공통</t>
        </is>
      </c>
      <c r="T38" s="37" t="inlineStr">
        <is>
          <t>작업자4</t>
        </is>
      </c>
    </row>
    <row r="39">
      <c r="A39" s="39">
        <f>IFERROR(INDEX('시나리오'!$G$5:$G$11,MATCH($T39,'시나리오'!$L$5:$L$11,0)),$T39)</f>
        <v/>
      </c>
      <c r="B39" s="39" t="inlineStr">
        <is>
          <t>ADM-038</t>
        </is>
      </c>
      <c r="C39" s="40" t="inlineStr">
        <is>
          <t>어드민</t>
        </is>
      </c>
      <c r="D39" s="40" t="inlineStr">
        <is>
          <t>접수-직무기술서 업로드</t>
        </is>
      </c>
      <c r="E39" s="39" t="inlineStr">
        <is>
          <t>P1</t>
        </is>
      </c>
      <c r="F39" s="40" t="inlineStr">
        <is>
          <t>용량·중복 제한</t>
        </is>
      </c>
      <c r="G39" s="40" t="inlineStr">
        <is>
          <t>직무기술서 영역</t>
        </is>
      </c>
      <c r="H39" s="40" t="inlineStr">
        <is>
          <t>파일 업로드</t>
        </is>
      </c>
      <c r="I39" s="40" t="inlineStr">
        <is>
          <t>3MB 초과·총 10MB 초과·동일 파일명</t>
        </is>
      </c>
      <c r="J39" s="40" t="inlineStr">
        <is>
          <t>파일당 최대 3MB·전체 10MB 제한 초과 시 차단. 동일 파일명 중복 업로드 시 모달 출력(중복 불가)</t>
        </is>
      </c>
      <c r="K39" s="39" t="inlineStr"/>
      <c r="L39" s="40" t="inlineStr"/>
      <c r="M39" s="40" t="inlineStr"/>
      <c r="N39" s="40" t="inlineStr"/>
      <c r="O39" s="39" t="inlineStr"/>
      <c r="P39" s="39" t="inlineStr"/>
      <c r="Q39" s="39" t="inlineStr"/>
      <c r="R39" s="40" t="inlineStr">
        <is>
          <t>화면정의서 기준 확정 필요</t>
        </is>
      </c>
      <c r="S39" s="39" t="inlineStr">
        <is>
          <t>공통</t>
        </is>
      </c>
      <c r="T39" s="39" t="inlineStr">
        <is>
          <t>작업자5</t>
        </is>
      </c>
    </row>
    <row r="40">
      <c r="A40" s="37">
        <f>IFERROR(INDEX('시나리오'!$G$5:$G$11,MATCH($T40,'시나리오'!$L$5:$L$11,0)),$T40)</f>
        <v/>
      </c>
      <c r="B40" s="37" t="inlineStr">
        <is>
          <t>ADM-039</t>
        </is>
      </c>
      <c r="C40" s="38" t="inlineStr">
        <is>
          <t>어드민</t>
        </is>
      </c>
      <c r="D40" s="38" t="inlineStr">
        <is>
          <t>접수-직무기술서 업로드</t>
        </is>
      </c>
      <c r="E40" s="37" t="inlineStr">
        <is>
          <t>P2</t>
        </is>
      </c>
      <c r="F40" s="38" t="inlineStr">
        <is>
          <t>허용 포맷·안내 메시지</t>
        </is>
      </c>
      <c r="G40" s="38" t="inlineStr">
        <is>
          <t>직무기술서 영역</t>
        </is>
      </c>
      <c r="H40" s="38" t="inlineStr">
        <is>
          <t>안내 메시지·포맷 확인</t>
        </is>
      </c>
      <c r="I40" s="38" t="inlineStr">
        <is>
          <t>-</t>
        </is>
      </c>
      <c r="J40" s="38" t="inlineStr">
        <is>
          <t>안내: '하드스킬 평가(BP평가)·직무 매칭(RP매칭)을 위해 JD 또는 채용공고 파일을 등록해주세요'. 허용 PDF·hwp·hwpx·docx·doc / 파일당 3MB·총 10MB·동일 파일명 중복 불가</t>
        </is>
      </c>
      <c r="K40" s="37" t="inlineStr"/>
      <c r="L40" s="38" t="inlineStr"/>
      <c r="M40" s="38" t="inlineStr"/>
      <c r="N40" s="38" t="inlineStr"/>
      <c r="O40" s="37" t="inlineStr"/>
      <c r="P40" s="37" t="inlineStr"/>
      <c r="Q40" s="37" t="inlineStr"/>
      <c r="R40" s="38" t="inlineStr">
        <is>
          <t>화면정의서 기준 확정 필요</t>
        </is>
      </c>
      <c r="S40" s="37" t="inlineStr">
        <is>
          <t>공통</t>
        </is>
      </c>
      <c r="T40" s="37" t="inlineStr">
        <is>
          <t>작업자6</t>
        </is>
      </c>
    </row>
    <row r="41">
      <c r="A41" s="39">
        <f>IFERROR(INDEX('시나리오'!$G$5:$G$11,MATCH($T41,'시나리오'!$L$5:$L$11,0)),$T41)</f>
        <v/>
      </c>
      <c r="B41" s="39" t="inlineStr">
        <is>
          <t>ADM-040</t>
        </is>
      </c>
      <c r="C41" s="40" t="inlineStr">
        <is>
          <t>어드민</t>
        </is>
      </c>
      <c r="D41" s="40" t="inlineStr">
        <is>
          <t>접수-직무기술서 업로드</t>
        </is>
      </c>
      <c r="E41" s="39" t="inlineStr">
        <is>
          <t>P2</t>
        </is>
      </c>
      <c r="F41" s="40" t="inlineStr">
        <is>
          <t>선택 해제 후 제출 시 파일 소실</t>
        </is>
      </c>
      <c r="G41" s="40" t="inlineStr">
        <is>
          <t>BP/RP 선택+직무기술서 업로드 상태</t>
        </is>
      </c>
      <c r="H41" s="40" t="inlineStr">
        <is>
          <t>BP/RP 선택 해제 후 검사요청서 제출</t>
        </is>
      </c>
      <c r="I41" s="40" t="inlineStr">
        <is>
          <t>-</t>
        </is>
      </c>
      <c r="J41" s="40" t="inlineStr">
        <is>
          <t>BP평가·RP매칭 선택·업로드 후 다시 선택 해제하고 제출하면 업로드한 직무기술서 파일은 소실됨</t>
        </is>
      </c>
      <c r="K41" s="39" t="inlineStr"/>
      <c r="L41" s="40" t="inlineStr"/>
      <c r="M41" s="40" t="inlineStr"/>
      <c r="N41" s="40" t="inlineStr"/>
      <c r="O41" s="39" t="inlineStr"/>
      <c r="P41" s="39" t="inlineStr"/>
      <c r="Q41" s="39" t="inlineStr"/>
      <c r="R41" s="40" t="inlineStr">
        <is>
          <t>화면정의서 기준 확정 필요</t>
        </is>
      </c>
      <c r="S41" s="39" t="inlineStr">
        <is>
          <t>공통</t>
        </is>
      </c>
      <c r="T41" s="39" t="inlineStr">
        <is>
          <t>작업자7</t>
        </is>
      </c>
    </row>
    <row r="42">
      <c r="A42" s="37">
        <f>IFERROR(INDEX('시나리오'!$G$5:$G$11,MATCH($T42,'시나리오'!$L$5:$L$11,0)),$T42)</f>
        <v/>
      </c>
      <c r="B42" s="37" t="inlineStr">
        <is>
          <t>ADM-041</t>
        </is>
      </c>
      <c r="C42" s="38" t="inlineStr">
        <is>
          <t>어드민</t>
        </is>
      </c>
      <c r="D42" s="38" t="inlineStr">
        <is>
          <t>접수-RP매칭 부적격 기준</t>
        </is>
      </c>
      <c r="E42" s="37" t="inlineStr">
        <is>
          <t>P1</t>
        </is>
      </c>
      <c r="F42" s="38" t="inlineStr">
        <is>
          <t>점수 기준 단일 체크박스화</t>
        </is>
      </c>
      <c r="G42" s="38" t="inlineStr">
        <is>
          <t>프리즘워크 접수 화면</t>
        </is>
      </c>
      <c r="H42" s="38" t="inlineStr">
        <is>
          <t>RP매칭 부적격 기준 UI 확인</t>
        </is>
      </c>
      <c r="I42" s="38" t="inlineStr">
        <is>
          <t>-</t>
        </is>
      </c>
      <c r="J42" s="38" t="inlineStr">
        <is>
          <t>BP 전형통과 기준과 동일 방식. '사용 안 함' 라디오 제거, '점수 기준' 단일 체크박스(기본값 미체크, 체크 시 적용·입력칸 활성화, 미체크 시 미적용·비활성화)</t>
        </is>
      </c>
      <c r="K42" s="37" t="inlineStr"/>
      <c r="L42" s="38" t="inlineStr"/>
      <c r="M42" s="38" t="inlineStr"/>
      <c r="N42" s="38" t="inlineStr"/>
      <c r="O42" s="37" t="inlineStr"/>
      <c r="P42" s="37" t="inlineStr"/>
      <c r="Q42" s="37" t="inlineStr"/>
      <c r="R42" s="38" t="inlineStr">
        <is>
          <t>화면정의서 기준 확정 필요</t>
        </is>
      </c>
      <c r="S42" s="37" t="inlineStr">
        <is>
          <t>공통</t>
        </is>
      </c>
      <c r="T42" s="37" t="inlineStr">
        <is>
          <t>작업자1</t>
        </is>
      </c>
    </row>
    <row r="43">
      <c r="A43" s="39">
        <f>IFERROR(INDEX('시나리오'!$G$5:$G$11,MATCH($T43,'시나리오'!$L$5:$L$11,0)),$T43)</f>
        <v/>
      </c>
      <c r="B43" s="39" t="inlineStr">
        <is>
          <t>ADM-042</t>
        </is>
      </c>
      <c r="C43" s="40" t="inlineStr">
        <is>
          <t>어드민</t>
        </is>
      </c>
      <c r="D43" s="40" t="inlineStr">
        <is>
          <t>접수-RP매칭 부적격 기준</t>
        </is>
      </c>
      <c r="E43" s="39" t="inlineStr">
        <is>
          <t>P1</t>
        </is>
      </c>
      <c r="F43" s="40" t="inlineStr">
        <is>
          <t>점수 입력·검증</t>
        </is>
      </c>
      <c r="G43" s="40" t="inlineStr">
        <is>
          <t>RP 점수 기준 체크</t>
        </is>
      </c>
      <c r="H43" s="40" t="inlineStr">
        <is>
          <t>점수 입력</t>
        </is>
      </c>
      <c r="I43" s="40" t="inlineStr">
        <is>
          <t>0~100 외 / 문자·기호</t>
        </is>
      </c>
      <c r="J43" s="40" t="inlineStr">
        <is>
          <t>'( )점 미만 부적격' 입력, 0~100 사이 수만·숫자만 입력(문자·기호 불가). 임계치 표현 '( )점 미만' 유지, 결과 표현 '부적격' 유지</t>
        </is>
      </c>
      <c r="K43" s="39" t="inlineStr"/>
      <c r="L43" s="40" t="inlineStr"/>
      <c r="M43" s="40" t="inlineStr"/>
      <c r="N43" s="40" t="inlineStr"/>
      <c r="O43" s="39" t="inlineStr"/>
      <c r="P43" s="39" t="inlineStr"/>
      <c r="Q43" s="39" t="inlineStr"/>
      <c r="R43" s="40" t="inlineStr">
        <is>
          <t>화면정의서 기준 확정 필요</t>
        </is>
      </c>
      <c r="S43" s="39" t="inlineStr">
        <is>
          <t>공통</t>
        </is>
      </c>
      <c r="T43" s="39" t="inlineStr">
        <is>
          <t>작업자2</t>
        </is>
      </c>
    </row>
    <row r="44">
      <c r="A44" s="37">
        <f>IFERROR(INDEX('시나리오'!$G$5:$G$11,MATCH($T44,'시나리오'!$L$5:$L$11,0)),$T44)</f>
        <v/>
      </c>
      <c r="B44" s="37" t="inlineStr">
        <is>
          <t>ADM-043</t>
        </is>
      </c>
      <c r="C44" s="38" t="inlineStr">
        <is>
          <t>어드민</t>
        </is>
      </c>
      <c r="D44" s="38" t="inlineStr">
        <is>
          <t>접수-RP매칭 부적격 기준</t>
        </is>
      </c>
      <c r="E44" s="37" t="inlineStr">
        <is>
          <t>P2</t>
        </is>
      </c>
      <c r="F44" s="38" t="inlineStr">
        <is>
          <t>프리즘브릿지 컨트롤 없음</t>
        </is>
      </c>
      <c r="G44" s="38" t="inlineStr">
        <is>
          <t>프리즘브릿지 접수 화면</t>
        </is>
      </c>
      <c r="H44" s="38" t="inlineStr">
        <is>
          <t>RP매칭 부적격 기준 확인</t>
        </is>
      </c>
      <c r="I44" s="38" t="inlineStr">
        <is>
          <t>-</t>
        </is>
      </c>
      <c r="J44" s="38" t="inlineStr">
        <is>
          <t>프리즘브릿지의 RP매칭은 안내 문구만 제공 → 부적격 기준 컨트롤 없음</t>
        </is>
      </c>
      <c r="K44" s="37" t="inlineStr"/>
      <c r="L44" s="38" t="inlineStr"/>
      <c r="M44" s="38" t="inlineStr"/>
      <c r="N44" s="38" t="inlineStr"/>
      <c r="O44" s="37" t="inlineStr"/>
      <c r="P44" s="37" t="inlineStr"/>
      <c r="Q44" s="37" t="inlineStr"/>
      <c r="R44" s="38" t="inlineStr">
        <is>
          <t>화면정의서 기준 확정 필요</t>
        </is>
      </c>
      <c r="S44" s="37" t="inlineStr">
        <is>
          <t>공통</t>
        </is>
      </c>
      <c r="T44" s="37" t="inlineStr">
        <is>
          <t>작업자3</t>
        </is>
      </c>
    </row>
    <row r="45">
      <c r="A45" s="39">
        <f>IFERROR(INDEX('시나리오'!$G$5:$G$11,MATCH($T45,'시나리오'!$L$5:$L$11,0)),$T45)</f>
        <v/>
      </c>
      <c r="B45" s="39" t="inlineStr">
        <is>
          <t>ADM-044</t>
        </is>
      </c>
      <c r="C45" s="40" t="inlineStr">
        <is>
          <t>어드민</t>
        </is>
      </c>
      <c r="D45" s="40" t="inlineStr">
        <is>
          <t>검사요청 확인-직무기술서</t>
        </is>
      </c>
      <c r="E45" s="39" t="inlineStr">
        <is>
          <t>P2</t>
        </is>
      </c>
      <c r="F45" s="40" t="inlineStr">
        <is>
          <t>직무기술서 표현</t>
        </is>
      </c>
      <c r="G45" s="40" t="inlineStr">
        <is>
          <t>검사요청 확인 화면</t>
        </is>
      </c>
      <c r="H45" s="40" t="inlineStr">
        <is>
          <t>직무기술서 영역 확인</t>
        </is>
      </c>
      <c r="I45" s="40" t="inlineStr">
        <is>
          <t>-</t>
        </is>
      </c>
      <c r="J45" s="40" t="inlineStr">
        <is>
          <t>검사요청 확인 화면에 직무기술서가 표현됨</t>
        </is>
      </c>
      <c r="K45" s="39" t="inlineStr"/>
      <c r="L45" s="40" t="inlineStr"/>
      <c r="M45" s="40" t="inlineStr"/>
      <c r="N45" s="40" t="inlineStr"/>
      <c r="O45" s="39" t="inlineStr"/>
      <c r="P45" s="39" t="inlineStr"/>
      <c r="Q45" s="39" t="inlineStr"/>
      <c r="R45" s="40" t="inlineStr">
        <is>
          <t>화면정의서 기준 확정 필요</t>
        </is>
      </c>
      <c r="S45" s="39" t="inlineStr">
        <is>
          <t>공통</t>
        </is>
      </c>
      <c r="T45" s="39" t="inlineStr">
        <is>
          <t>작업자4</t>
        </is>
      </c>
    </row>
    <row r="46">
      <c r="A46" s="37">
        <f>IFERROR(INDEX('시나리오'!$G$5:$G$11,MATCH($T46,'시나리오'!$L$5:$L$11,0)),$T46)</f>
        <v/>
      </c>
      <c r="B46" s="37" t="inlineStr">
        <is>
          <t>ADM-045</t>
        </is>
      </c>
      <c r="C46" s="38" t="inlineStr">
        <is>
          <t>어드민</t>
        </is>
      </c>
      <c r="D46" s="38" t="inlineStr">
        <is>
          <t>BP평가 설정-직무기술서</t>
        </is>
      </c>
      <c r="E46" s="37" t="inlineStr">
        <is>
          <t>P1</t>
        </is>
      </c>
      <c r="F46" s="38" t="inlineStr">
        <is>
          <t>직무기술서 설정</t>
        </is>
      </c>
      <c r="G46" s="38" t="inlineStr">
        <is>
          <t>BP평가 설정 화면</t>
        </is>
      </c>
      <c r="H46" s="38" t="inlineStr">
        <is>
          <t>직무기술서 설정</t>
        </is>
      </c>
      <c r="I46" s="38" t="inlineStr">
        <is>
          <t>-</t>
        </is>
      </c>
      <c r="J46" s="38" t="inlineStr">
        <is>
          <t>BP평가 설정 화면에 직무기술서 설정 기능(하드스킬 추출용)이 존재</t>
        </is>
      </c>
      <c r="K46" s="37" t="inlineStr"/>
      <c r="L46" s="38" t="inlineStr"/>
      <c r="M46" s="38" t="inlineStr"/>
      <c r="N46" s="38" t="inlineStr"/>
      <c r="O46" s="37" t="inlineStr"/>
      <c r="P46" s="37" t="inlineStr"/>
      <c r="Q46" s="37" t="inlineStr"/>
      <c r="R46" s="38" t="inlineStr">
        <is>
          <t>화면정의서 기준 확정 필요</t>
        </is>
      </c>
      <c r="S46" s="37" t="inlineStr">
        <is>
          <t>공통</t>
        </is>
      </c>
      <c r="T46" s="37" t="inlineStr">
        <is>
          <t>작업자5</t>
        </is>
      </c>
    </row>
    <row r="47">
      <c r="A47" s="39">
        <f>IFERROR(INDEX('시나리오'!$G$5:$G$11,MATCH($T47,'시나리오'!$L$5:$L$11,0)),$T47)</f>
        <v/>
      </c>
      <c r="B47" s="39" t="inlineStr">
        <is>
          <t>ADM-046</t>
        </is>
      </c>
      <c r="C47" s="40" t="inlineStr">
        <is>
          <t>어드민</t>
        </is>
      </c>
      <c r="D47" s="40" t="inlineStr">
        <is>
          <t>BP평가 설정-직무기술서</t>
        </is>
      </c>
      <c r="E47" s="39" t="inlineStr">
        <is>
          <t>P2</t>
        </is>
      </c>
      <c r="F47" s="40" t="inlineStr">
        <is>
          <t>직무별 직무기술서 설정</t>
        </is>
      </c>
      <c r="G47" s="40" t="inlineStr">
        <is>
          <t>BP평가 설정 화면</t>
        </is>
      </c>
      <c r="H47" s="40" t="inlineStr">
        <is>
          <t>직무별 설정</t>
        </is>
      </c>
      <c r="I47" s="40" t="inlineStr">
        <is>
          <t>-</t>
        </is>
      </c>
      <c r="J47" s="40" t="inlineStr">
        <is>
          <t>직무별로 직무기술서를 설정할 수 있음</t>
        </is>
      </c>
      <c r="K47" s="39" t="inlineStr"/>
      <c r="L47" s="40" t="inlineStr"/>
      <c r="M47" s="40" t="inlineStr"/>
      <c r="N47" s="40" t="inlineStr"/>
      <c r="O47" s="39" t="inlineStr"/>
      <c r="P47" s="39" t="inlineStr"/>
      <c r="Q47" s="39" t="inlineStr"/>
      <c r="R47" s="40" t="inlineStr">
        <is>
          <t>화면정의서 기준 확정 필요</t>
        </is>
      </c>
      <c r="S47" s="39" t="inlineStr">
        <is>
          <t>공통</t>
        </is>
      </c>
      <c r="T47" s="39" t="inlineStr">
        <is>
          <t>작업자6</t>
        </is>
      </c>
    </row>
    <row r="48">
      <c r="A48" s="37">
        <f>IFERROR(INDEX('시나리오'!$G$5:$G$11,MATCH($T48,'시나리오'!$L$5:$L$11,0)),$T48)</f>
        <v/>
      </c>
      <c r="B48" s="37" t="inlineStr">
        <is>
          <t>ADM-047</t>
        </is>
      </c>
      <c r="C48" s="38" t="inlineStr">
        <is>
          <t>어드민</t>
        </is>
      </c>
      <c r="D48" s="38" t="inlineStr">
        <is>
          <t>매니저-콘텐츠 관리</t>
        </is>
      </c>
      <c r="E48" s="37" t="inlineStr">
        <is>
          <t>P1</t>
        </is>
      </c>
      <c r="F48" s="38" t="inlineStr">
        <is>
          <t>한 줄 코멘트 관리</t>
        </is>
      </c>
      <c r="G48" s="38" t="inlineStr">
        <is>
          <t>BP평가 결과확인 화면</t>
        </is>
      </c>
      <c r="H48" s="38" t="inlineStr">
        <is>
          <t>한 줄 코멘트 확인·수정·재생성</t>
        </is>
      </c>
      <c r="I48" s="38" t="inlineStr">
        <is>
          <t>-</t>
        </is>
      </c>
      <c r="J48" s="38" t="inlineStr">
        <is>
          <t>한 줄 코멘트를 확인·수정·재생성 관리 가능</t>
        </is>
      </c>
      <c r="K48" s="37" t="inlineStr"/>
      <c r="L48" s="38" t="inlineStr"/>
      <c r="M48" s="38" t="inlineStr"/>
      <c r="N48" s="38" t="inlineStr"/>
      <c r="O48" s="37" t="inlineStr"/>
      <c r="P48" s="37" t="inlineStr"/>
      <c r="Q48" s="37" t="inlineStr"/>
      <c r="R48" s="38" t="inlineStr">
        <is>
          <t>화면정의서 기준 확정 필요</t>
        </is>
      </c>
      <c r="S48" s="37" t="inlineStr">
        <is>
          <t>공통</t>
        </is>
      </c>
      <c r="T48" s="37" t="inlineStr">
        <is>
          <t>작업자7</t>
        </is>
      </c>
    </row>
    <row r="49">
      <c r="A49" s="39">
        <f>IFERROR(INDEX('시나리오'!$G$5:$G$11,MATCH($T49,'시나리오'!$L$5:$L$11,0)),$T49)</f>
        <v/>
      </c>
      <c r="B49" s="39" t="inlineStr">
        <is>
          <t>ADM-048</t>
        </is>
      </c>
      <c r="C49" s="40" t="inlineStr">
        <is>
          <t>어드민</t>
        </is>
      </c>
      <c r="D49" s="40" t="inlineStr">
        <is>
          <t>매니저-콘텐츠 관리</t>
        </is>
      </c>
      <c r="E49" s="39" t="inlineStr">
        <is>
          <t>P1</t>
        </is>
      </c>
      <c r="F49" s="40" t="inlineStr">
        <is>
          <t>자소서 특장점 관리</t>
        </is>
      </c>
      <c r="G49" s="40" t="inlineStr">
        <is>
          <t>BP평가 결과확인 화면</t>
        </is>
      </c>
      <c r="H49" s="40" t="inlineStr">
        <is>
          <t>특장점 확인·수정·재생성</t>
        </is>
      </c>
      <c r="I49" s="40" t="inlineStr">
        <is>
          <t>-</t>
        </is>
      </c>
      <c r="J49" s="40" t="inlineStr">
        <is>
          <t>자소서 특장점을 확인·수정·재생성 관리 가능</t>
        </is>
      </c>
      <c r="K49" s="39" t="inlineStr"/>
      <c r="L49" s="40" t="inlineStr"/>
      <c r="M49" s="40" t="inlineStr"/>
      <c r="N49" s="40" t="inlineStr"/>
      <c r="O49" s="39" t="inlineStr"/>
      <c r="P49" s="39" t="inlineStr"/>
      <c r="Q49" s="39" t="inlineStr"/>
      <c r="R49" s="40" t="inlineStr">
        <is>
          <t>화면정의서 기준 확정 필요</t>
        </is>
      </c>
      <c r="S49" s="39" t="inlineStr">
        <is>
          <t>공통</t>
        </is>
      </c>
      <c r="T49" s="39" t="inlineStr">
        <is>
          <t>작업자1</t>
        </is>
      </c>
    </row>
    <row r="50">
      <c r="A50" s="37">
        <f>IFERROR(INDEX('시나리오'!$G$5:$G$11,MATCH($T50,'시나리오'!$L$5:$L$11,0)),$T50)</f>
        <v/>
      </c>
      <c r="B50" s="37" t="inlineStr">
        <is>
          <t>ADM-049</t>
        </is>
      </c>
      <c r="C50" s="38" t="inlineStr">
        <is>
          <t>어드민</t>
        </is>
      </c>
      <c r="D50" s="38" t="inlineStr">
        <is>
          <t>매니저-콘텐츠 관리</t>
        </is>
      </c>
      <c r="E50" s="37" t="inlineStr">
        <is>
          <t>P1</t>
        </is>
      </c>
      <c r="F50" s="38" t="inlineStr">
        <is>
          <t>근거요약 관리</t>
        </is>
      </c>
      <c r="G50" s="38" t="inlineStr">
        <is>
          <t>BP평가 결과확인 화면</t>
        </is>
      </c>
      <c r="H50" s="38" t="inlineStr">
        <is>
          <t>근거요약 확인·재생성</t>
        </is>
      </c>
      <c r="I50" s="38" t="inlineStr">
        <is>
          <t>-</t>
        </is>
      </c>
      <c r="J50" s="38" t="inlineStr">
        <is>
          <t>근거요약을 확인·재생성 관리 가능(근거요약 QC와 연계)</t>
        </is>
      </c>
      <c r="K50" s="37" t="inlineStr"/>
      <c r="L50" s="38" t="inlineStr"/>
      <c r="M50" s="38" t="inlineStr"/>
      <c r="N50" s="38" t="inlineStr"/>
      <c r="O50" s="37" t="inlineStr"/>
      <c r="P50" s="37" t="inlineStr"/>
      <c r="Q50" s="37" t="inlineStr"/>
      <c r="R50" s="38" t="inlineStr">
        <is>
          <t>화면정의서 기준 확정 필요</t>
        </is>
      </c>
      <c r="S50" s="37" t="inlineStr">
        <is>
          <t>공통</t>
        </is>
      </c>
      <c r="T50" s="37" t="inlineStr">
        <is>
          <t>작업자2</t>
        </is>
      </c>
    </row>
    <row r="51">
      <c r="A51" s="39">
        <f>IFERROR(INDEX('시나리오'!$G$5:$G$11,MATCH($T51,'시나리오'!$L$5:$L$11,0)),$T51)</f>
        <v/>
      </c>
      <c r="B51" s="39" t="inlineStr">
        <is>
          <t>ADM-050</t>
        </is>
      </c>
      <c r="C51" s="40" t="inlineStr">
        <is>
          <t>어드민</t>
        </is>
      </c>
      <c r="D51" s="40" t="inlineStr">
        <is>
          <t>매니저-콘텐츠 관리</t>
        </is>
      </c>
      <c r="E51" s="39" t="inlineStr">
        <is>
          <t>P1</t>
        </is>
      </c>
      <c r="F51" s="40" t="inlineStr">
        <is>
          <t>하드스킬 근거문장 관리</t>
        </is>
      </c>
      <c r="G51" s="40" t="inlineStr">
        <is>
          <t>BP평가 결과확인 화면</t>
        </is>
      </c>
      <c r="H51" s="40" t="inlineStr">
        <is>
          <t>근거문장 확인·재매칭</t>
        </is>
      </c>
      <c r="I51" s="40" t="inlineStr">
        <is>
          <t>-</t>
        </is>
      </c>
      <c r="J51" s="40" t="inlineStr">
        <is>
          <t>하드스킬 근거문장을 확인·재매칭 관리 가능</t>
        </is>
      </c>
      <c r="K51" s="39" t="inlineStr"/>
      <c r="L51" s="40" t="inlineStr"/>
      <c r="M51" s="40" t="inlineStr"/>
      <c r="N51" s="40" t="inlineStr"/>
      <c r="O51" s="39" t="inlineStr"/>
      <c r="P51" s="39" t="inlineStr"/>
      <c r="Q51" s="39" t="inlineStr"/>
      <c r="R51" s="40" t="inlineStr">
        <is>
          <t>화면정의서 기준 확정 필요</t>
        </is>
      </c>
      <c r="S51" s="39" t="inlineStr">
        <is>
          <t>공통</t>
        </is>
      </c>
      <c r="T51" s="39" t="inlineStr">
        <is>
          <t>작업자3</t>
        </is>
      </c>
    </row>
    <row r="52">
      <c r="A52" s="37">
        <f>IFERROR(INDEX('시나리오'!$G$5:$G$11,MATCH($T52,'시나리오'!$L$5:$L$11,0)),$T52)</f>
        <v/>
      </c>
      <c r="B52" s="37" t="inlineStr">
        <is>
          <t>ADM-051</t>
        </is>
      </c>
      <c r="C52" s="38" t="inlineStr">
        <is>
          <t>어드민</t>
        </is>
      </c>
      <c r="D52" s="38" t="inlineStr">
        <is>
          <t>하드스킬 키워드 관리</t>
        </is>
      </c>
      <c r="E52" s="37" t="inlineStr">
        <is>
          <t>P1</t>
        </is>
      </c>
      <c r="F52" s="38" t="inlineStr">
        <is>
          <t>문장형식 제거→텍스트형식 추가</t>
        </is>
      </c>
      <c r="G52" s="38" t="inlineStr">
        <is>
          <t>직무기술서 게시판 편집</t>
        </is>
      </c>
      <c r="H52" s="38" t="inlineStr">
        <is>
          <t>편집 컬럼 형식 확인</t>
        </is>
      </c>
      <c r="I52" s="38" t="inlineStr">
        <is>
          <t>-</t>
        </is>
      </c>
      <c r="J52" s="38" t="inlineStr">
        <is>
          <t>편집 컬럼에서 '문장형식' 제거, 하드스킬용 '텍스트형식' 추가</t>
        </is>
      </c>
      <c r="K52" s="37" t="inlineStr"/>
      <c r="L52" s="38" t="inlineStr"/>
      <c r="M52" s="38" t="inlineStr"/>
      <c r="N52" s="38" t="inlineStr"/>
      <c r="O52" s="37" t="inlineStr"/>
      <c r="P52" s="37" t="inlineStr"/>
      <c r="Q52" s="37" t="inlineStr"/>
      <c r="R52" s="38" t="inlineStr">
        <is>
          <t>화면정의서 기준 확정 필요</t>
        </is>
      </c>
      <c r="S52" s="37" t="inlineStr">
        <is>
          <t>공통</t>
        </is>
      </c>
      <c r="T52" s="37" t="inlineStr">
        <is>
          <t>작업자4</t>
        </is>
      </c>
    </row>
    <row r="53">
      <c r="A53" s="39">
        <f>IFERROR(INDEX('시나리오'!$G$5:$G$11,MATCH($T53,'시나리오'!$L$5:$L$11,0)),$T53)</f>
        <v/>
      </c>
      <c r="B53" s="39" t="inlineStr">
        <is>
          <t>ADM-052</t>
        </is>
      </c>
      <c r="C53" s="40" t="inlineStr">
        <is>
          <t>어드민</t>
        </is>
      </c>
      <c r="D53" s="40" t="inlineStr">
        <is>
          <t>하드스킬 키워드 관리</t>
        </is>
      </c>
      <c r="E53" s="39" t="inlineStr">
        <is>
          <t>P1</t>
        </is>
      </c>
      <c r="F53" s="40" t="inlineStr">
        <is>
          <t>키워드 생성/재생성</t>
        </is>
      </c>
      <c r="G53" s="40" t="inlineStr">
        <is>
          <t>직무기술서 편집</t>
        </is>
      </c>
      <c r="H53" s="40" t="inlineStr">
        <is>
          <t>하드스킬 키워드 생성·재생성</t>
        </is>
      </c>
      <c r="I53" s="40" t="inlineStr">
        <is>
          <t>JD 텍스트</t>
        </is>
      </c>
      <c r="J53" s="40" t="inlineStr">
        <is>
          <t>하드스킬 키워드 생성 및 재생성 동작</t>
        </is>
      </c>
      <c r="K53" s="39" t="inlineStr"/>
      <c r="L53" s="40" t="inlineStr"/>
      <c r="M53" s="40" t="inlineStr"/>
      <c r="N53" s="40" t="inlineStr"/>
      <c r="O53" s="39" t="inlineStr"/>
      <c r="P53" s="39" t="inlineStr"/>
      <c r="Q53" s="39" t="inlineStr"/>
      <c r="R53" s="40" t="inlineStr">
        <is>
          <t>화면정의서 기준 확정 필요</t>
        </is>
      </c>
      <c r="S53" s="39" t="inlineStr">
        <is>
          <t>공통</t>
        </is>
      </c>
      <c r="T53" s="39" t="inlineStr">
        <is>
          <t>작업자5</t>
        </is>
      </c>
    </row>
    <row r="54">
      <c r="A54" s="37">
        <f>IFERROR(INDEX('시나리오'!$G$5:$G$11,MATCH($T54,'시나리오'!$L$5:$L$11,0)),$T54)</f>
        <v/>
      </c>
      <c r="B54" s="37" t="inlineStr">
        <is>
          <t>ADM-053</t>
        </is>
      </c>
      <c r="C54" s="38" t="inlineStr">
        <is>
          <t>어드민</t>
        </is>
      </c>
      <c r="D54" s="38" t="inlineStr">
        <is>
          <t>하드스킬 키워드 관리</t>
        </is>
      </c>
      <c r="E54" s="37" t="inlineStr">
        <is>
          <t>P2</t>
        </is>
      </c>
      <c r="F54" s="38" t="inlineStr">
        <is>
          <t>키워드 삭제/추가</t>
        </is>
      </c>
      <c r="G54" s="38" t="inlineStr">
        <is>
          <t>하드스킬 키워드 존재</t>
        </is>
      </c>
      <c r="H54" s="38" t="inlineStr">
        <is>
          <t>삭제·수동 추가</t>
        </is>
      </c>
      <c r="I54" s="38" t="inlineStr">
        <is>
          <t>-</t>
        </is>
      </c>
      <c r="J54" s="38" t="inlineStr">
        <is>
          <t>하드스킬 키워드 삭제 및 수동 추가 가능</t>
        </is>
      </c>
      <c r="K54" s="37" t="inlineStr"/>
      <c r="L54" s="38" t="inlineStr"/>
      <c r="M54" s="38" t="inlineStr"/>
      <c r="N54" s="38" t="inlineStr"/>
      <c r="O54" s="37" t="inlineStr"/>
      <c r="P54" s="37" t="inlineStr"/>
      <c r="Q54" s="37" t="inlineStr"/>
      <c r="R54" s="38" t="inlineStr">
        <is>
          <t>화면정의서 기준 확정 필요</t>
        </is>
      </c>
      <c r="S54" s="37" t="inlineStr">
        <is>
          <t>공통</t>
        </is>
      </c>
      <c r="T54" s="37" t="inlineStr">
        <is>
          <t>작업자6</t>
        </is>
      </c>
    </row>
    <row r="55">
      <c r="A55" s="39">
        <f>IFERROR(INDEX('시나리오'!$G$5:$G$11,MATCH($T55,'시나리오'!$L$5:$L$11,0)),$T55)</f>
        <v/>
      </c>
      <c r="B55" s="39" t="inlineStr">
        <is>
          <t>ADM-054</t>
        </is>
      </c>
      <c r="C55" s="40" t="inlineStr">
        <is>
          <t>어드민</t>
        </is>
      </c>
      <c r="D55" s="40" t="inlineStr">
        <is>
          <t>프리즘워크-다운로드 설정</t>
        </is>
      </c>
      <c r="E55" s="39" t="inlineStr">
        <is>
          <t>P2</t>
        </is>
      </c>
      <c r="F55" s="40" t="inlineStr">
        <is>
          <t>BP 콘텐츠 옵션 변경</t>
        </is>
      </c>
      <c r="G55" s="40" t="inlineStr">
        <is>
          <t>프리즘워크 다운로드 설정</t>
        </is>
      </c>
      <c r="H55" s="40" t="inlineStr">
        <is>
          <t>옵션 확인</t>
        </is>
      </c>
      <c r="I55" s="40" t="inlineStr">
        <is>
          <t>-</t>
        </is>
      </c>
      <c r="J55" s="40" t="inlineStr">
        <is>
          <t>변경된 BP 콘텐츠에 맞춰 다운로드 옵션이 변경됨</t>
        </is>
      </c>
      <c r="K55" s="39" t="inlineStr"/>
      <c r="L55" s="40" t="inlineStr"/>
      <c r="M55" s="40" t="inlineStr"/>
      <c r="N55" s="40" t="inlineStr"/>
      <c r="O55" s="39" t="inlineStr"/>
      <c r="P55" s="39" t="inlineStr"/>
      <c r="Q55" s="39" t="inlineStr"/>
      <c r="R55" s="40" t="inlineStr">
        <is>
          <t>화면정의서 기준 확정 필요</t>
        </is>
      </c>
      <c r="S55" s="39" t="inlineStr">
        <is>
          <t>공통</t>
        </is>
      </c>
      <c r="T55" s="39" t="inlineStr">
        <is>
          <t>작업자7</t>
        </is>
      </c>
    </row>
    <row r="56">
      <c r="A56" s="37">
        <f>IFERROR(INDEX('시나리오'!$G$5:$G$11,MATCH($T56,'시나리오'!$L$5:$L$11,0)),$T56)</f>
        <v/>
      </c>
      <c r="B56" s="37" t="inlineStr">
        <is>
          <t>ADM-055</t>
        </is>
      </c>
      <c r="C56" s="38" t="inlineStr">
        <is>
          <t>어드민</t>
        </is>
      </c>
      <c r="D56" s="38" t="inlineStr">
        <is>
          <t>프리즘워크-다운로드 설정</t>
        </is>
      </c>
      <c r="E56" s="37" t="inlineStr">
        <is>
          <t>P2</t>
        </is>
      </c>
      <c r="F56" s="38" t="inlineStr">
        <is>
          <t>'BP평가 상세(근거 문장)' 명칭</t>
        </is>
      </c>
      <c r="G56" s="38" t="inlineStr">
        <is>
          <t>다운로드 설정</t>
        </is>
      </c>
      <c r="H56" s="38" t="inlineStr">
        <is>
          <t>옵션명 확인</t>
        </is>
      </c>
      <c r="I56" s="38" t="inlineStr">
        <is>
          <t>-</t>
        </is>
      </c>
      <c r="J56" s="38" t="inlineStr">
        <is>
          <t>'근거문장' 옵션명이 'BP평가 상세(근거 문장)'로 변경 반영</t>
        </is>
      </c>
      <c r="K56" s="37" t="inlineStr"/>
      <c r="L56" s="38" t="inlineStr"/>
      <c r="M56" s="38" t="inlineStr"/>
      <c r="N56" s="38" t="inlineStr"/>
      <c r="O56" s="37" t="inlineStr"/>
      <c r="P56" s="37" t="inlineStr"/>
      <c r="Q56" s="37" t="inlineStr"/>
      <c r="R56" s="38" t="inlineStr">
        <is>
          <t>화면정의서 기준 확정 필요</t>
        </is>
      </c>
      <c r="S56" s="37" t="inlineStr">
        <is>
          <t>공통</t>
        </is>
      </c>
      <c r="T56" s="37" t="inlineStr">
        <is>
          <t>작업자1</t>
        </is>
      </c>
    </row>
    <row r="57">
      <c r="A57" s="39">
        <f>IFERROR(INDEX('시나리오'!$G$5:$G$11,MATCH($T57,'시나리오'!$L$5:$L$11,0)),$T57)</f>
        <v/>
      </c>
      <c r="B57" s="39" t="inlineStr">
        <is>
          <t>ADM-056</t>
        </is>
      </c>
      <c r="C57" s="40" t="inlineStr">
        <is>
          <t>어드민</t>
        </is>
      </c>
      <c r="D57" s="40" t="inlineStr">
        <is>
          <t>프리즘워크-다운로드 설정</t>
        </is>
      </c>
      <c r="E57" s="39" t="inlineStr">
        <is>
          <t>P1</t>
        </is>
      </c>
      <c r="F57" s="40" t="inlineStr">
        <is>
          <t>통합본문 옵션 동작</t>
        </is>
      </c>
      <c r="G57" s="40" t="inlineStr">
        <is>
          <t>다운로드 설정 · 복수 검사 선택됨</t>
        </is>
      </c>
      <c r="H57" s="40" t="inlineStr">
        <is>
          <t>통합본문 ON/OFF 선택 후 다운로드</t>
        </is>
      </c>
      <c r="I57" s="40" t="inlineStr">
        <is>
          <t>-</t>
        </is>
      </c>
      <c r="J57" s="40" t="inlineStr">
        <is>
          <t>ON 시 선택 검사 출처가 자소서 1부에 통합되고 개별 검사 본문은 제거 / OFF 시 개별 본문 포함, 통합본문 없음</t>
        </is>
      </c>
      <c r="K57" s="39" t="inlineStr"/>
      <c r="L57" s="40" t="inlineStr"/>
      <c r="M57" s="40" t="inlineStr"/>
      <c r="N57" s="40" t="inlineStr"/>
      <c r="O57" s="39" t="inlineStr"/>
      <c r="P57" s="39" t="inlineStr"/>
      <c r="Q57" s="39" t="inlineStr"/>
      <c r="R57" s="40" t="inlineStr">
        <is>
          <t>화면정의서 기준 확정 필요</t>
        </is>
      </c>
      <c r="S57" s="39" t="inlineStr">
        <is>
          <t>공통</t>
        </is>
      </c>
      <c r="T57" s="39" t="inlineStr">
        <is>
          <t>작업자2</t>
        </is>
      </c>
    </row>
  </sheetData>
  <autoFilter ref="A1:T1"/>
  <conditionalFormatting sqref="K2:K57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3">
      <formula>"Blocked"</formula>
    </cfRule>
  </conditionalFormatting>
  <conditionalFormatting sqref="P2:P57">
    <cfRule type="cellIs" priority="4" operator="equal" dxfId="0">
      <formula>"수정완료"</formula>
    </cfRule>
  </conditionalFormatting>
  <conditionalFormatting sqref="E2:E57">
    <cfRule type="cellIs" priority="5" operator="equal" dxfId="4">
      <formula>"P1"</formula>
    </cfRule>
  </conditionalFormatting>
  <conditionalFormatting sqref="S2:S57">
    <cfRule type="cellIs" priority="6" operator="equal" dxfId="5">
      <formula>"시나리오"</formula>
    </cfRule>
  </conditionalFormatting>
  <dataValidations count="5">
    <dataValidation sqref="K2:K57" showDropDown="0" showInputMessage="0" showErrorMessage="0" allowBlank="1" type="list">
      <formula1>"Pass,Fail,N/A,Blocked"</formula1>
    </dataValidation>
    <dataValidation sqref="E2:E57" showDropDown="0" showInputMessage="0" showErrorMessage="0" allowBlank="1" type="list">
      <formula1>"P1,P2,P3"</formula1>
    </dataValidation>
    <dataValidation sqref="O2:O57" showDropDown="0" showInputMessage="0" showErrorMessage="0" allowBlank="1" type="list">
      <formula1>"치명,중,경"</formula1>
    </dataValidation>
    <dataValidation sqref="P2:P57" showDropDown="0" showInputMessage="0" showErrorMessage="0" allowBlank="1" type="list">
      <formula1>"미착수,수정중,수정완료,보류"</formula1>
    </dataValidation>
    <dataValidation sqref="Q2:Q57" showDropDown="0" showInputMessage="0" showErrorMessage="0" allowBlank="1" type="list">
      <formula1>"재확인대기,재확인통과,재오픈"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2026-06-29T15:28:05Z</dcterms:created>
  <dcterms:modified xmlns:dcterms="http://purl.org/dc/terms/" xmlns:xsi="http://www.w3.org/2001/XMLSchema-instance" xsi:type="dcterms:W3CDTF">2026-06-29T15:28:05Z</dcterms:modified>
</cp:coreProperties>
</file>